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up" sheetId="2" state="visible" r:id="rId2"/>
    <sheet xmlns:r="http://schemas.openxmlformats.org/officeDocument/2006/relationships" name="Rent Ledger" sheetId="3" state="visible" r:id="rId3"/>
    <sheet xmlns:r="http://schemas.openxmlformats.org/officeDocument/2006/relationships" name="Expenses" sheetId="4" state="visible" r:id="rId4"/>
    <sheet xmlns:r="http://schemas.openxmlformats.org/officeDocument/2006/relationships" name="T776 Summary"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quot;$&quot;#,##0.00"/>
    <numFmt numFmtId="166" formatCode="0%;-0%;&quot;&quot;"/>
  </numFmts>
  <fonts count="10">
    <font>
      <name val="Calibri"/>
      <family val="2"/>
      <color theme="1"/>
      <sz val="11"/>
      <scheme val="minor"/>
    </font>
    <font>
      <name val="Calibri"/>
      <b val="1"/>
      <color rgb="001B1B18"/>
      <sz val="16"/>
    </font>
    <font>
      <name val="Calibri"/>
      <i val="1"/>
      <color rgb="006B675E"/>
      <sz val="10"/>
    </font>
    <font>
      <name val="Calibri"/>
      <b val="1"/>
      <color rgb="001B4D3E"/>
      <sz val="12"/>
    </font>
    <font>
      <name val="Calibri"/>
      <color rgb="001B1B18"/>
      <sz val="10"/>
    </font>
    <font>
      <name val="Calibri"/>
      <b val="1"/>
      <color rgb="001B1B18"/>
      <sz val="10"/>
    </font>
    <font>
      <name val="Calibri"/>
      <b val="1"/>
      <color rgb="008A3A16"/>
      <sz val="10"/>
    </font>
    <font>
      <name val="Calibri"/>
      <color rgb="006B675E"/>
      <sz val="9"/>
    </font>
    <font>
      <name val="Calibri"/>
      <b val="1"/>
      <color rgb="00FFFFFF"/>
      <sz val="10"/>
    </font>
    <font>
      <name val="Calibri"/>
      <b val="1"/>
      <color rgb="001B4D3E"/>
      <sz val="11"/>
    </font>
  </fonts>
  <fills count="5">
    <fill>
      <patternFill/>
    </fill>
    <fill>
      <patternFill patternType="gray125"/>
    </fill>
    <fill>
      <patternFill patternType="solid">
        <fgColor rgb="001B4D3E"/>
      </patternFill>
    </fill>
    <fill>
      <patternFill patternType="solid">
        <fgColor rgb="00FFFDF7"/>
      </patternFill>
    </fill>
    <fill>
      <patternFill patternType="solid">
        <fgColor rgb="00F4F1EA"/>
      </patternFill>
    </fill>
  </fills>
  <borders count="2">
    <border>
      <left/>
      <right/>
      <top/>
      <bottom/>
      <diagonal/>
    </border>
    <border>
      <left style="thin">
        <color rgb="00C9C4B8"/>
      </left>
      <right style="thin">
        <color rgb="00C9C4B8"/>
      </right>
      <top style="thin">
        <color rgb="00C9C4B8"/>
      </top>
      <bottom style="thin">
        <color rgb="00C9C4B8"/>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2" borderId="1" applyAlignment="1" pivotButton="0" quotePrefix="0" xfId="0">
      <alignment horizontal="left" vertical="center" wrapText="1"/>
    </xf>
    <xf numFmtId="0" fontId="5" fillId="0" borderId="1" pivotButton="0" quotePrefix="0" xfId="0"/>
    <xf numFmtId="0" fontId="4" fillId="3" borderId="1" pivotButton="0" quotePrefix="0" xfId="0"/>
    <xf numFmtId="0" fontId="4" fillId="0" borderId="1" pivotButton="0" quotePrefix="0" xfId="0"/>
    <xf numFmtId="9" fontId="4" fillId="0" borderId="1" pivotButton="0" quotePrefix="0" xfId="0"/>
    <xf numFmtId="164" fontId="4" fillId="0" borderId="1" pivotButton="0" quotePrefix="0" xfId="0"/>
    <xf numFmtId="1" fontId="5" fillId="0" borderId="0" pivotButton="0" quotePrefix="0" xfId="0"/>
    <xf numFmtId="0" fontId="8" fillId="2" borderId="1" pivotButton="0" quotePrefix="0" xfId="0"/>
    <xf numFmtId="0" fontId="8" fillId="2" borderId="1" applyAlignment="1" pivotButton="0" quotePrefix="0" xfId="0">
      <alignment horizontal="center"/>
    </xf>
    <xf numFmtId="164" fontId="4" fillId="3" borderId="1" pivotButton="0" quotePrefix="0" xfId="0"/>
    <xf numFmtId="165" fontId="4" fillId="3" borderId="1" pivotButton="0" quotePrefix="0" xfId="0"/>
    <xf numFmtId="165" fontId="4" fillId="0" borderId="1" pivotButton="0" quotePrefix="0" xfId="0"/>
    <xf numFmtId="165" fontId="5" fillId="0" borderId="1" pivotButton="0" quotePrefix="0" xfId="0"/>
    <xf numFmtId="165" fontId="5" fillId="4" borderId="1" pivotButton="0" quotePrefix="0" xfId="0"/>
    <xf numFmtId="0" fontId="7" fillId="0" borderId="0" applyAlignment="1" pivotButton="0" quotePrefix="0" xfId="0">
      <alignment vertical="top" wrapText="1"/>
    </xf>
    <xf numFmtId="9" fontId="4" fillId="3" borderId="1" pivotButton="0" quotePrefix="0" xfId="0"/>
    <xf numFmtId="166" fontId="7" fillId="4" borderId="0" pivotButton="0" quotePrefix="0" xfId="0"/>
    <xf numFmtId="1" fontId="3" fillId="3" borderId="1" pivotButton="0" quotePrefix="0" xfId="0"/>
    <xf numFmtId="0" fontId="8" fillId="2" borderId="1" applyAlignment="1" pivotButton="0" quotePrefix="0" xfId="0">
      <alignment horizontal="center" wrapText="1"/>
    </xf>
    <xf numFmtId="0" fontId="0" fillId="0" borderId="1" pivotButton="0" quotePrefix="0" xfId="0"/>
    <xf numFmtId="165" fontId="7" fillId="0" borderId="0" pivotButton="0" quotePrefix="0" xfId="0"/>
    <xf numFmtId="0" fontId="0" fillId="4" borderId="1" pivotButton="0" quotePrefix="0" xfId="0"/>
    <xf numFmtId="165" fontId="9"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3" customWidth="1" min="1" max="1"/>
    <col width="4" customWidth="1" min="2" max="2"/>
    <col width="96" customWidth="1" min="3" max="3"/>
  </cols>
  <sheetData>
    <row r="1">
      <c r="A1" s="1" t="inlineStr">
        <is>
          <t>T776 Rental Books — free partial sample</t>
        </is>
      </c>
    </row>
    <row r="2">
      <c r="A2" s="2" t="inlineStr">
        <is>
          <t>A reduced extract of the paid workbook, filled with invented example figures.</t>
        </is>
      </c>
    </row>
    <row r="3">
      <c r="C3" s="3" t="inlineStr">
        <is>
          <t>What this file is</t>
        </is>
      </c>
    </row>
    <row r="4" ht="60" customHeight="1">
      <c r="C4" s="4" t="inlineStr">
        <is>
          <t>This is a partial sample of T776 Rental Books, the paid Excel workbook for Canadian landlords who file Form T776. It is not the workbook. It carries the paid file's own header rows and its T776 Summary arithmetic, cut down to two properties and a handful of rows so you can watch the summary compute before you buy.</t>
        </is>
      </c>
    </row>
    <row r="5">
      <c r="C5" s="3" t="inlineStr">
        <is>
          <t>Every figure here is invented</t>
        </is>
      </c>
    </row>
    <row r="6" ht="60" customHeight="1">
      <c r="C6" s="4" t="inlineStr">
        <is>
          <t>The amounts on the Rent Ledger, Expenses and T776 Summary tabs are made-up example data, written only to show the arithmetic. None of it is a claim about what the workbook will show for your property, and none of it is a savings claim.</t>
        </is>
      </c>
    </row>
    <row r="7">
      <c r="C7" s="3" t="inlineStr">
        <is>
          <t>What the paid workbook has that this sample does not</t>
        </is>
      </c>
    </row>
    <row r="8" ht="46" customHeight="1">
      <c r="B8" s="5" t="inlineStr">
        <is>
          <t>Tabs</t>
        </is>
      </c>
      <c r="C8" s="4" t="inlineStr">
        <is>
          <t>The paid file has eight: START HERE, Setup, Rent Ledger, Expenses, Mileage, T776 Summary, Capital &amp; CCA, T776 Codes. This sample carries four of them — Setup, Rent Ledger, Expenses, T776 Summary — plus this page in place of START HERE.</t>
        </is>
      </c>
    </row>
    <row r="9" ht="46" customHeight="1">
      <c r="B9" s="5" t="inlineStr">
        <is>
          <t>Capacity</t>
        </is>
      </c>
      <c r="C9" s="4" t="inlineStr">
        <is>
          <t>The paid file holds 10 properties, 500 ledger rows, 500 expense rows and 250 mileage rows. This sample holds 2 properties and 8 + 8 rows.</t>
        </is>
      </c>
    </row>
    <row r="10" ht="46" customHeight="1">
      <c r="B10" s="5" t="inlineStr">
        <is>
          <t>Mileage</t>
        </is>
      </c>
      <c r="C10" s="4" t="inlineStr">
        <is>
          <t>The paid file's Mileage tab applies CRA's per-kilometre rate and feeds line 9281. There is no Mileage tab here.</t>
        </is>
      </c>
    </row>
    <row r="11" ht="46" customHeight="1">
      <c r="B11" s="5" t="inlineStr">
        <is>
          <t>Capital &amp; CCA</t>
        </is>
      </c>
      <c r="C11" s="4" t="inlineStr">
        <is>
          <t>The paid file keeps rows flagged Capital out of the summary and lists them on a Capital &amp; CCA tab for your accountant. This sample has neither.</t>
        </is>
      </c>
    </row>
    <row r="12" ht="46" customHeight="1">
      <c r="B12" s="5" t="inlineStr">
        <is>
          <t>Drop-downs</t>
        </is>
      </c>
      <c r="C12" s="4" t="inlineStr">
        <is>
          <t>On the paid file the Expense T776-line, property, receipt and repair-or-capital cells are drop-downs driven by the T776 Codes tab. Here they are plain text so the file stays small.</t>
        </is>
      </c>
    </row>
    <row r="13">
      <c r="C13" s="3" t="inlineStr">
        <is>
          <t>How to try it</t>
        </is>
      </c>
    </row>
    <row r="14" ht="60" customHeight="1">
      <c r="C14" s="4" t="inlineStr">
        <is>
          <t>Type into the shaded cells on the Setup, Rent Ledger and Expenses tabs. The T776 Summary tab totals itself — gross rents and each expense line, per property and per CRA line number, then Amount A, the line-9949 personal portion, deductible expenses and the line-9369 net. Press F9 to recalculate. The tax year is the one cell, B2 on the T776 Summary tab.</t>
        </is>
      </c>
    </row>
    <row r="15">
      <c r="C15" s="3" t="inlineStr">
        <is>
          <t>Disclaimer</t>
        </is>
      </c>
    </row>
    <row r="16" ht="30" customHeight="1">
      <c r="C16" s="6" t="inlineStr">
        <is>
          <t>T776 Rental Books is a bookkeeping aid. It is not tax, legal, or accounting advice. Check your categories and allocations with a qualified accountant.</t>
        </is>
      </c>
    </row>
    <row r="17">
      <c r="C17" s="7" t="inlineStr">
        <is>
          <t>Partial free sample of T776 Rental Books, version 1.0. Example data invented for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11" customWidth="1" min="1" max="1"/>
    <col width="24" customWidth="1" min="2" max="2"/>
    <col width="34" customWidth="1" min="3" max="3"/>
    <col width="12" customWidth="1" min="4" max="4"/>
    <col width="12" customWidth="1" min="5" max="5"/>
    <col width="14" customWidth="1" min="6" max="6"/>
    <col width="13" customWidth="1" min="7" max="7"/>
    <col width="34" customWidth="1" min="8" max="8"/>
  </cols>
  <sheetData>
    <row r="1">
      <c r="A1" s="1" t="inlineStr">
        <is>
          <t>Setup</t>
        </is>
      </c>
    </row>
    <row r="2">
      <c r="A2" s="2" t="inlineStr">
        <is>
          <t>One row per property. Sample: two properties. (Paid file: ten.)</t>
        </is>
      </c>
    </row>
    <row r="4" ht="28" customHeight="1">
      <c r="A4" s="8" t="inlineStr">
        <is>
          <t>Property ID</t>
        </is>
      </c>
      <c r="B4" s="8" t="inlineStr">
        <is>
          <t>Property name</t>
        </is>
      </c>
      <c r="C4" s="8" t="inlineStr">
        <is>
          <t>Address</t>
        </is>
      </c>
      <c r="D4" s="8" t="inlineStr">
        <is>
          <t>Province</t>
        </is>
      </c>
      <c r="E4" s="8" t="inlineStr">
        <is>
          <t>Your ownership %</t>
        </is>
      </c>
      <c r="F4" s="8" t="inlineStr">
        <is>
          <t>Date acquired</t>
        </is>
      </c>
      <c r="G4" s="8" t="inlineStr">
        <is>
          <t>Rental use %</t>
        </is>
      </c>
      <c r="H4" s="8" t="inlineStr">
        <is>
          <t>Notes</t>
        </is>
      </c>
    </row>
    <row r="5">
      <c r="A5" s="9" t="inlineStr">
        <is>
          <t>P1</t>
        </is>
      </c>
      <c r="B5" s="10" t="inlineStr">
        <is>
          <t>Maple St duplex</t>
        </is>
      </c>
      <c r="C5" s="10" t="inlineStr">
        <is>
          <t>12 Maple St, Example ON</t>
        </is>
      </c>
      <c r="D5" s="11" t="inlineStr">
        <is>
          <t>ON</t>
        </is>
      </c>
      <c r="E5" s="12" t="n">
        <v>1</v>
      </c>
      <c r="F5" s="13" t="inlineStr">
        <is>
          <t>2019-06-01</t>
        </is>
      </c>
      <c r="G5" s="12" t="n">
        <v>1</v>
      </c>
      <c r="H5" s="10" t="inlineStr">
        <is>
          <t>Both units rented all year. Example row.</t>
        </is>
      </c>
    </row>
    <row r="6">
      <c r="A6" s="9" t="inlineStr">
        <is>
          <t>P2</t>
        </is>
      </c>
      <c r="B6" s="10" t="inlineStr">
        <is>
          <t>Basement suite (own home)</t>
        </is>
      </c>
      <c r="C6" s="10" t="inlineStr">
        <is>
          <t>88 Example Ave, Example ON</t>
        </is>
      </c>
      <c r="D6" s="11" t="inlineStr">
        <is>
          <t>ON</t>
        </is>
      </c>
      <c r="E6" s="12" t="n">
        <v>1</v>
      </c>
      <c r="F6" s="13" t="inlineStr">
        <is>
          <t>2021-09-01</t>
        </is>
      </c>
      <c r="G6" s="12" t="n">
        <v>0.4</v>
      </c>
      <c r="H6" s="10" t="inlineStr">
        <is>
          <t>Suite in the owner's home; 40% of the home's costs are the rental share. Example row.</t>
        </is>
      </c>
    </row>
    <row r="8">
      <c r="A8" s="7" t="inlineStr">
        <is>
          <t>Paid file: ten property rows (P1–P10). The property IDs above are referenced by every other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9" customWidth="1" min="3" max="3"/>
    <col width="20" customWidth="1" min="4" max="4"/>
    <col width="12" customWidth="1" min="5" max="5"/>
    <col width="12" customWidth="1" min="6" max="6"/>
    <col width="14" customWidth="1" min="7" max="7"/>
    <col width="18" customWidth="1" min="8" max="8"/>
    <col width="28" customWidth="1" min="9" max="9"/>
    <col width="12"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3" customWidth="1" min="23" max="23"/>
  </cols>
  <sheetData>
    <row r="1">
      <c r="A1" s="1" t="inlineStr">
        <is>
          <t>Rent Ledger</t>
        </is>
      </c>
    </row>
    <row r="2">
      <c r="A2" s="2" t="inlineStr">
        <is>
          <t>Log rent as you receive it. Example rows only — invented amounts.</t>
        </is>
      </c>
    </row>
    <row r="3">
      <c r="J3" s="5" t="inlineStr">
        <is>
          <t>Year</t>
        </is>
      </c>
      <c r="K3" s="14">
        <f>'T776 Summary'!$B$2</f>
        <v/>
      </c>
    </row>
    <row r="4" ht="28" customHeight="1">
      <c r="A4" s="8" t="inlineStr">
        <is>
          <t>Date received</t>
        </is>
      </c>
      <c r="B4" s="8" t="inlineStr">
        <is>
          <t>Property ID</t>
        </is>
      </c>
      <c r="C4" s="8" t="inlineStr">
        <is>
          <t>Unit</t>
        </is>
      </c>
      <c r="D4" s="8" t="inlineStr">
        <is>
          <t>Tenant</t>
        </is>
      </c>
      <c r="E4" s="8" t="inlineStr">
        <is>
          <t>Month (auto)</t>
        </is>
      </c>
      <c r="F4" s="8" t="inlineStr">
        <is>
          <t>Amount due</t>
        </is>
      </c>
      <c r="G4" s="8" t="inlineStr">
        <is>
          <t>Amount received</t>
        </is>
      </c>
      <c r="H4" s="8" t="inlineStr">
        <is>
          <t>Payment method</t>
        </is>
      </c>
      <c r="I4" s="8" t="inlineStr">
        <is>
          <t>Notes</t>
        </is>
      </c>
      <c r="J4" s="15" t="inlineStr">
        <is>
          <t>Rent received by property and month</t>
        </is>
      </c>
      <c r="K4" s="16" t="inlineStr">
        <is>
          <t>Jan</t>
        </is>
      </c>
      <c r="L4" s="16" t="inlineStr">
        <is>
          <t>Feb</t>
        </is>
      </c>
      <c r="M4" s="16" t="inlineStr">
        <is>
          <t>Mar</t>
        </is>
      </c>
      <c r="N4" s="16" t="inlineStr">
        <is>
          <t>Apr</t>
        </is>
      </c>
      <c r="O4" s="16" t="inlineStr">
        <is>
          <t>May</t>
        </is>
      </c>
      <c r="P4" s="16" t="inlineStr">
        <is>
          <t>Jun</t>
        </is>
      </c>
      <c r="Q4" s="16" t="inlineStr">
        <is>
          <t>Jul</t>
        </is>
      </c>
      <c r="R4" s="16" t="inlineStr">
        <is>
          <t>Aug</t>
        </is>
      </c>
      <c r="S4" s="16" t="inlineStr">
        <is>
          <t>Sep</t>
        </is>
      </c>
      <c r="T4" s="16" t="inlineStr">
        <is>
          <t>Oct</t>
        </is>
      </c>
      <c r="U4" s="16" t="inlineStr">
        <is>
          <t>Nov</t>
        </is>
      </c>
      <c r="V4" s="16" t="inlineStr">
        <is>
          <t>Dec</t>
        </is>
      </c>
      <c r="W4" s="15" t="inlineStr">
        <is>
          <t>Total</t>
        </is>
      </c>
    </row>
    <row r="5">
      <c r="A5" s="17" t="n">
        <v>45660</v>
      </c>
      <c r="B5" s="10" t="inlineStr">
        <is>
          <t>P1</t>
        </is>
      </c>
      <c r="C5" s="10" t="inlineStr">
        <is>
          <t>Upper</t>
        </is>
      </c>
      <c r="D5" s="10" t="inlineStr">
        <is>
          <t>Example tenant A</t>
        </is>
      </c>
      <c r="E5" s="11">
        <f>IF($A5="","",TEXT($A5,"YYYY-MM"))</f>
        <v/>
      </c>
      <c r="F5" s="18" t="n">
        <v>1850</v>
      </c>
      <c r="G5" s="18" t="n">
        <v>1850</v>
      </c>
      <c r="H5" s="10" t="inlineStr">
        <is>
          <t>e-Transfer</t>
        </is>
      </c>
      <c r="I5" s="10" t="inlineStr">
        <is>
          <t>Example row</t>
        </is>
      </c>
      <c r="J5" s="9">
        <f>Setup!$A5</f>
        <v/>
      </c>
      <c r="K5" s="19">
        <f>SUMIFS($G$5:$G$12,$B$5:$B$12,$J5,$E$5:$E$12,TEXT(DATE($K$3,1,1),"YYYY-MM"))</f>
        <v/>
      </c>
      <c r="L5" s="19">
        <f>SUMIFS($G$5:$G$12,$B$5:$B$12,$J5,$E$5:$E$12,TEXT(DATE($K$3,2,1),"YYYY-MM"))</f>
        <v/>
      </c>
      <c r="M5" s="19">
        <f>SUMIFS($G$5:$G$12,$B$5:$B$12,$J5,$E$5:$E$12,TEXT(DATE($K$3,3,1),"YYYY-MM"))</f>
        <v/>
      </c>
      <c r="N5" s="19">
        <f>SUMIFS($G$5:$G$12,$B$5:$B$12,$J5,$E$5:$E$12,TEXT(DATE($K$3,4,1),"YYYY-MM"))</f>
        <v/>
      </c>
      <c r="O5" s="19">
        <f>SUMIFS($G$5:$G$12,$B$5:$B$12,$J5,$E$5:$E$12,TEXT(DATE($K$3,5,1),"YYYY-MM"))</f>
        <v/>
      </c>
      <c r="P5" s="19">
        <f>SUMIFS($G$5:$G$12,$B$5:$B$12,$J5,$E$5:$E$12,TEXT(DATE($K$3,6,1),"YYYY-MM"))</f>
        <v/>
      </c>
      <c r="Q5" s="19">
        <f>SUMIFS($G$5:$G$12,$B$5:$B$12,$J5,$E$5:$E$12,TEXT(DATE($K$3,7,1),"YYYY-MM"))</f>
        <v/>
      </c>
      <c r="R5" s="19">
        <f>SUMIFS($G$5:$G$12,$B$5:$B$12,$J5,$E$5:$E$12,TEXT(DATE($K$3,8,1),"YYYY-MM"))</f>
        <v/>
      </c>
      <c r="S5" s="19">
        <f>SUMIFS($G$5:$G$12,$B$5:$B$12,$J5,$E$5:$E$12,TEXT(DATE($K$3,9,1),"YYYY-MM"))</f>
        <v/>
      </c>
      <c r="T5" s="19">
        <f>SUMIFS($G$5:$G$12,$B$5:$B$12,$J5,$E$5:$E$12,TEXT(DATE($K$3,10,1),"YYYY-MM"))</f>
        <v/>
      </c>
      <c r="U5" s="19">
        <f>SUMIFS($G$5:$G$12,$B$5:$B$12,$J5,$E$5:$E$12,TEXT(DATE($K$3,11,1),"YYYY-MM"))</f>
        <v/>
      </c>
      <c r="V5" s="19">
        <f>SUMIFS($G$5:$G$12,$B$5:$B$12,$J5,$E$5:$E$12,TEXT(DATE($K$3,12,1),"YYYY-MM"))</f>
        <v/>
      </c>
      <c r="W5" s="20">
        <f>SUM(K5:V5)</f>
        <v/>
      </c>
    </row>
    <row r="6">
      <c r="A6" s="17" t="n">
        <v>45660</v>
      </c>
      <c r="B6" s="10" t="inlineStr">
        <is>
          <t>P1</t>
        </is>
      </c>
      <c r="C6" s="10" t="inlineStr">
        <is>
          <t>Lower</t>
        </is>
      </c>
      <c r="D6" s="10" t="inlineStr">
        <is>
          <t>Example tenant B</t>
        </is>
      </c>
      <c r="E6" s="11">
        <f>IF($A6="","",TEXT($A6,"YYYY-MM"))</f>
        <v/>
      </c>
      <c r="F6" s="18" t="n">
        <v>1500</v>
      </c>
      <c r="G6" s="18" t="n">
        <v>1500</v>
      </c>
      <c r="H6" s="10" t="inlineStr">
        <is>
          <t>Pre-authorized debit</t>
        </is>
      </c>
      <c r="I6" s="10" t="inlineStr">
        <is>
          <t>Example row</t>
        </is>
      </c>
      <c r="J6" s="9">
        <f>Setup!$A6</f>
        <v/>
      </c>
      <c r="K6" s="19">
        <f>SUMIFS($G$5:$G$12,$B$5:$B$12,$J6,$E$5:$E$12,TEXT(DATE($K$3,1,1),"YYYY-MM"))</f>
        <v/>
      </c>
      <c r="L6" s="19">
        <f>SUMIFS($G$5:$G$12,$B$5:$B$12,$J6,$E$5:$E$12,TEXT(DATE($K$3,2,1),"YYYY-MM"))</f>
        <v/>
      </c>
      <c r="M6" s="19">
        <f>SUMIFS($G$5:$G$12,$B$5:$B$12,$J6,$E$5:$E$12,TEXT(DATE($K$3,3,1),"YYYY-MM"))</f>
        <v/>
      </c>
      <c r="N6" s="19">
        <f>SUMIFS($G$5:$G$12,$B$5:$B$12,$J6,$E$5:$E$12,TEXT(DATE($K$3,4,1),"YYYY-MM"))</f>
        <v/>
      </c>
      <c r="O6" s="19">
        <f>SUMIFS($G$5:$G$12,$B$5:$B$12,$J6,$E$5:$E$12,TEXT(DATE($K$3,5,1),"YYYY-MM"))</f>
        <v/>
      </c>
      <c r="P6" s="19">
        <f>SUMIFS($G$5:$G$12,$B$5:$B$12,$J6,$E$5:$E$12,TEXT(DATE($K$3,6,1),"YYYY-MM"))</f>
        <v/>
      </c>
      <c r="Q6" s="19">
        <f>SUMIFS($G$5:$G$12,$B$5:$B$12,$J6,$E$5:$E$12,TEXT(DATE($K$3,7,1),"YYYY-MM"))</f>
        <v/>
      </c>
      <c r="R6" s="19">
        <f>SUMIFS($G$5:$G$12,$B$5:$B$12,$J6,$E$5:$E$12,TEXT(DATE($K$3,8,1),"YYYY-MM"))</f>
        <v/>
      </c>
      <c r="S6" s="19">
        <f>SUMIFS($G$5:$G$12,$B$5:$B$12,$J6,$E$5:$E$12,TEXT(DATE($K$3,9,1),"YYYY-MM"))</f>
        <v/>
      </c>
      <c r="T6" s="19">
        <f>SUMIFS($G$5:$G$12,$B$5:$B$12,$J6,$E$5:$E$12,TEXT(DATE($K$3,10,1),"YYYY-MM"))</f>
        <v/>
      </c>
      <c r="U6" s="19">
        <f>SUMIFS($G$5:$G$12,$B$5:$B$12,$J6,$E$5:$E$12,TEXT(DATE($K$3,11,1),"YYYY-MM"))</f>
        <v/>
      </c>
      <c r="V6" s="19">
        <f>SUMIFS($G$5:$G$12,$B$5:$B$12,$J6,$E$5:$E$12,TEXT(DATE($K$3,12,1),"YYYY-MM"))</f>
        <v/>
      </c>
      <c r="W6" s="20">
        <f>SUM(K6:V6)</f>
        <v/>
      </c>
    </row>
    <row r="7">
      <c r="A7" s="17" t="n">
        <v>45691</v>
      </c>
      <c r="B7" s="10" t="inlineStr">
        <is>
          <t>P1</t>
        </is>
      </c>
      <c r="C7" s="10" t="inlineStr">
        <is>
          <t>Upper</t>
        </is>
      </c>
      <c r="D7" s="10" t="inlineStr">
        <is>
          <t>Example tenant A</t>
        </is>
      </c>
      <c r="E7" s="11">
        <f>IF($A7="","",TEXT($A7,"YYYY-MM"))</f>
        <v/>
      </c>
      <c r="F7" s="18" t="n">
        <v>1850</v>
      </c>
      <c r="G7" s="18" t="n">
        <v>1850</v>
      </c>
      <c r="H7" s="10" t="inlineStr">
        <is>
          <t>e-Transfer</t>
        </is>
      </c>
      <c r="I7" s="10" t="inlineStr">
        <is>
          <t>Example row</t>
        </is>
      </c>
      <c r="J7" s="5" t="inlineStr">
        <is>
          <t>Total</t>
        </is>
      </c>
      <c r="K7" s="21">
        <f>SUM(K5:K6)</f>
        <v/>
      </c>
      <c r="L7" s="21">
        <f>SUM(L5:L6)</f>
        <v/>
      </c>
      <c r="M7" s="21">
        <f>SUM(M5:M6)</f>
        <v/>
      </c>
      <c r="N7" s="21">
        <f>SUM(N5:N6)</f>
        <v/>
      </c>
      <c r="O7" s="21">
        <f>SUM(O5:O6)</f>
        <v/>
      </c>
      <c r="P7" s="21">
        <f>SUM(P5:P6)</f>
        <v/>
      </c>
      <c r="Q7" s="21">
        <f>SUM(Q5:Q6)</f>
        <v/>
      </c>
      <c r="R7" s="21">
        <f>SUM(R5:R6)</f>
        <v/>
      </c>
      <c r="S7" s="21">
        <f>SUM(S5:S6)</f>
        <v/>
      </c>
      <c r="T7" s="21">
        <f>SUM(T5:T6)</f>
        <v/>
      </c>
      <c r="U7" s="21">
        <f>SUM(U5:U6)</f>
        <v/>
      </c>
      <c r="V7" s="21">
        <f>SUM(V5:V6)</f>
        <v/>
      </c>
      <c r="W7" s="21">
        <f>SUM(W5:W6)</f>
        <v/>
      </c>
    </row>
    <row r="8">
      <c r="A8" s="17" t="n">
        <v>45691</v>
      </c>
      <c r="B8" s="10" t="inlineStr">
        <is>
          <t>P1</t>
        </is>
      </c>
      <c r="C8" s="10" t="inlineStr">
        <is>
          <t>Lower</t>
        </is>
      </c>
      <c r="D8" s="10" t="inlineStr">
        <is>
          <t>Example tenant B</t>
        </is>
      </c>
      <c r="E8" s="11">
        <f>IF($A8="","",TEXT($A8,"YYYY-MM"))</f>
        <v/>
      </c>
      <c r="F8" s="18" t="n">
        <v>1500</v>
      </c>
      <c r="G8" s="18" t="n">
        <v>1500</v>
      </c>
      <c r="H8" s="10" t="inlineStr">
        <is>
          <t>Pre-authorized debit</t>
        </is>
      </c>
      <c r="I8" s="10" t="inlineStr">
        <is>
          <t>Example row</t>
        </is>
      </c>
    </row>
    <row r="9">
      <c r="A9" s="17" t="n">
        <v>45717</v>
      </c>
      <c r="B9" s="10" t="inlineStr">
        <is>
          <t>P2</t>
        </is>
      </c>
      <c r="C9" s="10" t="inlineStr">
        <is>
          <t>Suite</t>
        </is>
      </c>
      <c r="D9" s="10" t="inlineStr">
        <is>
          <t>Example tenant C</t>
        </is>
      </c>
      <c r="E9" s="11">
        <f>IF($A9="","",TEXT($A9,"YYYY-MM"))</f>
        <v/>
      </c>
      <c r="F9" s="18" t="n">
        <v>1150</v>
      </c>
      <c r="G9" s="18" t="n">
        <v>1150</v>
      </c>
      <c r="H9" s="10" t="inlineStr">
        <is>
          <t>e-Transfer</t>
        </is>
      </c>
      <c r="I9" s="10" t="inlineStr">
        <is>
          <t>Example row</t>
        </is>
      </c>
      <c r="J9" s="7" t="inlineStr">
        <is>
          <t>Same monthly grid as the paid file, cut to two properties. The paid grid covers ten.</t>
        </is>
      </c>
    </row>
    <row r="10">
      <c r="A10" s="17" t="n">
        <v>45748</v>
      </c>
      <c r="B10" s="10" t="inlineStr">
        <is>
          <t>P2</t>
        </is>
      </c>
      <c r="C10" s="10" t="inlineStr">
        <is>
          <t>Suite</t>
        </is>
      </c>
      <c r="D10" s="10" t="inlineStr">
        <is>
          <t>Example tenant C</t>
        </is>
      </c>
      <c r="E10" s="11">
        <f>IF($A10="","",TEXT($A10,"YYYY-MM"))</f>
        <v/>
      </c>
      <c r="F10" s="18" t="n">
        <v>1150</v>
      </c>
      <c r="G10" s="18" t="n">
        <v>1150</v>
      </c>
      <c r="H10" s="10" t="inlineStr">
        <is>
          <t>e-Transfer</t>
        </is>
      </c>
      <c r="I10" s="10" t="inlineStr">
        <is>
          <t>Example row</t>
        </is>
      </c>
    </row>
    <row r="11">
      <c r="A11" s="17" t="n">
        <v>45780</v>
      </c>
      <c r="B11" s="10" t="inlineStr">
        <is>
          <t>P1</t>
        </is>
      </c>
      <c r="C11" s="10" t="inlineStr">
        <is>
          <t>Upper</t>
        </is>
      </c>
      <c r="D11" s="10" t="inlineStr">
        <is>
          <t>Example tenant A</t>
        </is>
      </c>
      <c r="E11" s="11">
        <f>IF($A11="","",TEXT($A11,"YYYY-MM"))</f>
        <v/>
      </c>
      <c r="F11" s="18" t="n">
        <v>1850</v>
      </c>
      <c r="G11" s="18" t="n">
        <v>1850</v>
      </c>
      <c r="H11" s="10" t="inlineStr">
        <is>
          <t>e-Transfer</t>
        </is>
      </c>
      <c r="I11" s="10" t="inlineStr">
        <is>
          <t>Example row</t>
        </is>
      </c>
    </row>
    <row r="12">
      <c r="A12" s="17" t="n">
        <v>45809</v>
      </c>
      <c r="B12" s="10" t="inlineStr">
        <is>
          <t>P2</t>
        </is>
      </c>
      <c r="C12" s="10" t="inlineStr">
        <is>
          <t>Suite</t>
        </is>
      </c>
      <c r="D12" s="10" t="inlineStr">
        <is>
          <t>Example tenant C</t>
        </is>
      </c>
      <c r="E12" s="11">
        <f>IF($A12="","",TEXT($A12,"YYYY-MM"))</f>
        <v/>
      </c>
      <c r="F12" s="18" t="n">
        <v>1150</v>
      </c>
      <c r="G12" s="18" t="n">
        <v>1150</v>
      </c>
      <c r="H12" s="10" t="inlineStr">
        <is>
          <t>e-Transfer</t>
        </is>
      </c>
      <c r="I12" s="10" t="inlineStr">
        <is>
          <t>Example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32" customWidth="1" min="3" max="3"/>
    <col width="20" customWidth="1" min="4" max="4"/>
    <col width="34" customWidth="1" min="5" max="5"/>
    <col width="12" customWidth="1" min="6" max="6"/>
    <col width="12" customWidth="1" min="7" max="7"/>
    <col width="13" customWidth="1" min="8" max="8"/>
    <col width="15" customWidth="1" min="9" max="9"/>
    <col width="13" customWidth="1" min="10" max="10"/>
    <col width="15" customWidth="1" min="11" max="11"/>
  </cols>
  <sheetData>
    <row r="1">
      <c r="A1" s="1" t="inlineStr">
        <is>
          <t>Expenses</t>
        </is>
      </c>
    </row>
    <row r="2">
      <c r="A2" s="2" t="inlineStr">
        <is>
          <t>One row per payment, tagged to a T776 line. Example rows only — invented amounts.</t>
        </is>
      </c>
    </row>
    <row r="3">
      <c r="M3" s="5" t="inlineStr">
        <is>
          <t>Rental share applied</t>
        </is>
      </c>
    </row>
    <row r="4" ht="42" customHeight="1">
      <c r="A4" s="8" t="inlineStr">
        <is>
          <t>Date paid</t>
        </is>
      </c>
      <c r="B4" s="8" t="inlineStr">
        <is>
          <t>Property ID</t>
        </is>
      </c>
      <c r="C4" s="8" t="inlineStr">
        <is>
          <t>T776 line</t>
        </is>
      </c>
      <c r="D4" s="8" t="inlineStr">
        <is>
          <t>Vendor / payee</t>
        </is>
      </c>
      <c r="E4" s="8" t="inlineStr">
        <is>
          <t>Description</t>
        </is>
      </c>
      <c r="F4" s="8" t="inlineStr">
        <is>
          <t>Amount</t>
        </is>
      </c>
      <c r="G4" s="8" t="inlineStr">
        <is>
          <t>GST/HST paid</t>
        </is>
      </c>
      <c r="H4" s="8" t="inlineStr">
        <is>
          <t>Receipt filed</t>
        </is>
      </c>
      <c r="I4" s="8" t="inlineStr">
        <is>
          <t>Repair or capital</t>
        </is>
      </c>
      <c r="J4" s="8" t="inlineStr">
        <is>
          <t>Rental share % (optional)</t>
        </is>
      </c>
      <c r="K4" s="8" t="inlineStr">
        <is>
          <t>Rental share applied</t>
        </is>
      </c>
      <c r="M4" s="22" t="inlineStr">
        <is>
          <t>Column K is calculated: leave the Rental share % blank and the property's Rental use % from Setup is applied; type 100% in column J for an expense that is wholly the rental's.</t>
        </is>
      </c>
    </row>
    <row r="5" ht="42" customHeight="1">
      <c r="A5" s="17" t="n">
        <v>45702</v>
      </c>
      <c r="B5" s="10" t="inlineStr">
        <is>
          <t>P1</t>
        </is>
      </c>
      <c r="C5" s="10" t="inlineStr">
        <is>
          <t>9180 Property taxes</t>
        </is>
      </c>
      <c r="D5" s="10" t="inlineStr">
        <is>
          <t>Example municipality</t>
        </is>
      </c>
      <c r="E5" s="10" t="inlineStr">
        <is>
          <t>Property tax, both units</t>
        </is>
      </c>
      <c r="F5" s="18" t="n">
        <v>2400</v>
      </c>
      <c r="G5" s="18" t="n">
        <v>0</v>
      </c>
      <c r="H5" s="10" t="inlineStr">
        <is>
          <t>Yes</t>
        </is>
      </c>
      <c r="I5" s="10" t="inlineStr">
        <is>
          <t>Repair</t>
        </is>
      </c>
      <c r="J5" s="23" t="n"/>
      <c r="K5" s="24">
        <f>IF($B5="",0,IF($J5&lt;&gt;"",$J5,IFERROR(VLOOKUP($B5,Setup!$A$5:$G$6,7,FALSE),1)))</f>
        <v/>
      </c>
      <c r="M5" s="22" t="inlineStr">
        <is>
          <t>The P2 rows above show this: P2's rental use is 40%, so its heat/hydro and insurance come into the summary at 40%, and the P2 repair row overrides that with an explicit 40%.</t>
        </is>
      </c>
    </row>
    <row r="6" ht="42" customHeight="1">
      <c r="A6" s="17" t="n">
        <v>45738</v>
      </c>
      <c r="B6" s="10" t="inlineStr">
        <is>
          <t>P1</t>
        </is>
      </c>
      <c r="C6" s="10" t="inlineStr">
        <is>
          <t>8960 Repairs and maintenance</t>
        </is>
      </c>
      <c r="D6" s="10" t="inlineStr">
        <is>
          <t>Example plumbing</t>
        </is>
      </c>
      <c r="E6" s="10" t="inlineStr">
        <is>
          <t>Fix leaking tap, upper unit</t>
        </is>
      </c>
      <c r="F6" s="18" t="n">
        <v>350</v>
      </c>
      <c r="G6" s="18" t="n">
        <v>45.5</v>
      </c>
      <c r="H6" s="10" t="inlineStr">
        <is>
          <t>Yes</t>
        </is>
      </c>
      <c r="I6" s="10" t="inlineStr">
        <is>
          <t>Repair</t>
        </is>
      </c>
      <c r="J6" s="23" t="n"/>
      <c r="K6" s="24">
        <f>IF($B6="",0,IF($J6&lt;&gt;"",$J6,IFERROR(VLOOKUP($B6,Setup!$A$5:$G$6,7,FALSE),1)))</f>
        <v/>
      </c>
      <c r="M6" s="22" t="inlineStr">
        <is>
          <t>Repair or capital: the paid file keeps Capital rows out of the summary and lists them on the Capital &amp; CCA tab. Every row in this sample is a Repair.</t>
        </is>
      </c>
    </row>
    <row r="7">
      <c r="A7" s="17" t="n">
        <v>45757</v>
      </c>
      <c r="B7" s="10" t="inlineStr">
        <is>
          <t>P2</t>
        </is>
      </c>
      <c r="C7" s="10" t="inlineStr">
        <is>
          <t>9220 Utilities</t>
        </is>
      </c>
      <c r="D7" s="10" t="inlineStr">
        <is>
          <t>Example utilities</t>
        </is>
      </c>
      <c r="E7" s="10" t="inlineStr">
        <is>
          <t>Heat and hydro, whole home</t>
        </is>
      </c>
      <c r="F7" s="18" t="n">
        <v>1200</v>
      </c>
      <c r="G7" s="18" t="n">
        <v>156</v>
      </c>
      <c r="H7" s="10" t="inlineStr">
        <is>
          <t>Yes</t>
        </is>
      </c>
      <c r="I7" s="10" t="inlineStr">
        <is>
          <t>Repair</t>
        </is>
      </c>
      <c r="J7" s="23" t="n"/>
      <c r="K7" s="24">
        <f>IF($B7="",0,IF($J7&lt;&gt;"",$J7,IFERROR(VLOOKUP($B7,Setup!$A$5:$G$6,7,FALSE),1)))</f>
        <v/>
      </c>
    </row>
    <row r="8">
      <c r="A8" s="17" t="n">
        <v>45777</v>
      </c>
      <c r="B8" s="10" t="inlineStr">
        <is>
          <t>P2</t>
        </is>
      </c>
      <c r="C8" s="10" t="inlineStr">
        <is>
          <t>8690 Insurance</t>
        </is>
      </c>
      <c r="D8" s="10" t="inlineStr">
        <is>
          <t>Example insurer</t>
        </is>
      </c>
      <c r="E8" s="10" t="inlineStr">
        <is>
          <t>Home insurance policy</t>
        </is>
      </c>
      <c r="F8" s="18" t="n">
        <v>900</v>
      </c>
      <c r="G8" s="18" t="n">
        <v>0</v>
      </c>
      <c r="H8" s="10" t="inlineStr">
        <is>
          <t>Yes</t>
        </is>
      </c>
      <c r="I8" s="10" t="inlineStr">
        <is>
          <t>Repair</t>
        </is>
      </c>
      <c r="J8" s="23" t="n"/>
      <c r="K8" s="24">
        <f>IF($B8="",0,IF($J8&lt;&gt;"",$J8,IFERROR(VLOOKUP($B8,Setup!$A$5:$G$6,7,FALSE),1)))</f>
        <v/>
      </c>
    </row>
    <row r="9">
      <c r="A9" s="17" t="n">
        <v>45823</v>
      </c>
      <c r="B9" s="10" t="inlineStr">
        <is>
          <t>P1</t>
        </is>
      </c>
      <c r="C9" s="10" t="inlineStr">
        <is>
          <t>8710 Interest and bank charges</t>
        </is>
      </c>
      <c r="D9" s="10" t="inlineStr">
        <is>
          <t>Example bank</t>
        </is>
      </c>
      <c r="E9" s="10" t="inlineStr">
        <is>
          <t>Mortgage interest (not principal)</t>
        </is>
      </c>
      <c r="F9" s="18" t="n">
        <v>5200</v>
      </c>
      <c r="G9" s="18" t="n">
        <v>0</v>
      </c>
      <c r="H9" s="10" t="inlineStr">
        <is>
          <t>Yes</t>
        </is>
      </c>
      <c r="I9" s="10" t="inlineStr">
        <is>
          <t>Repair</t>
        </is>
      </c>
      <c r="J9" s="23" t="n"/>
      <c r="K9" s="24">
        <f>IF($B9="",0,IF($J9&lt;&gt;"",$J9,IFERROR(VLOOKUP($B9,Setup!$A$5:$G$6,7,FALSE),1)))</f>
        <v/>
      </c>
    </row>
    <row r="10">
      <c r="A10" s="17" t="n">
        <v>45870</v>
      </c>
      <c r="B10" s="10" t="inlineStr">
        <is>
          <t>P1</t>
        </is>
      </c>
      <c r="C10" s="10" t="inlineStr">
        <is>
          <t>9270 Other expenses</t>
        </is>
      </c>
      <c r="D10" s="10" t="inlineStr">
        <is>
          <t>Example condo corp</t>
        </is>
      </c>
      <c r="E10" s="10" t="inlineStr">
        <is>
          <t>Common-area fees</t>
        </is>
      </c>
      <c r="F10" s="18" t="n">
        <v>180</v>
      </c>
      <c r="G10" s="18" t="n">
        <v>0</v>
      </c>
      <c r="H10" s="10" t="inlineStr">
        <is>
          <t>No</t>
        </is>
      </c>
      <c r="I10" s="10" t="inlineStr">
        <is>
          <t>Repair</t>
        </is>
      </c>
      <c r="J10" s="23" t="n"/>
      <c r="K10" s="24">
        <f>IF($B10="",0,IF($J10&lt;&gt;"",$J10,IFERROR(VLOOKUP($B10,Setup!$A$5:$G$6,7,FALSE),1)))</f>
        <v/>
      </c>
    </row>
    <row r="11">
      <c r="A11" s="17" t="n">
        <v>45905</v>
      </c>
      <c r="B11" s="10" t="inlineStr">
        <is>
          <t>P1</t>
        </is>
      </c>
      <c r="C11" s="10" t="inlineStr">
        <is>
          <t>8521 Advertising</t>
        </is>
      </c>
      <c r="D11" s="10" t="inlineStr">
        <is>
          <t>Example listings site</t>
        </is>
      </c>
      <c r="E11" s="10" t="inlineStr">
        <is>
          <t>Vacancy listing fee</t>
        </is>
      </c>
      <c r="F11" s="18" t="n">
        <v>120</v>
      </c>
      <c r="G11" s="18" t="n">
        <v>15.6</v>
      </c>
      <c r="H11" s="10" t="inlineStr">
        <is>
          <t>Yes</t>
        </is>
      </c>
      <c r="I11" s="10" t="inlineStr">
        <is>
          <t>Repair</t>
        </is>
      </c>
      <c r="J11" s="23" t="n"/>
      <c r="K11" s="24">
        <f>IF($B11="",0,IF($J11&lt;&gt;"",$J11,IFERROR(VLOOKUP($B11,Setup!$A$5:$G$6,7,FALSE),1)))</f>
        <v/>
      </c>
    </row>
    <row r="12">
      <c r="A12" s="17" t="n">
        <v>45948</v>
      </c>
      <c r="B12" s="10" t="inlineStr">
        <is>
          <t>P2</t>
        </is>
      </c>
      <c r="C12" s="10" t="inlineStr">
        <is>
          <t>8960 Repairs and maintenance</t>
        </is>
      </c>
      <c r="D12" s="10" t="inlineStr">
        <is>
          <t>Example handyman</t>
        </is>
      </c>
      <c r="E12" s="10" t="inlineStr">
        <is>
          <t>Patch and paint the suite</t>
        </is>
      </c>
      <c r="F12" s="18" t="n">
        <v>260</v>
      </c>
      <c r="G12" s="18" t="n">
        <v>33.8</v>
      </c>
      <c r="H12" s="10" t="inlineStr">
        <is>
          <t>Yes</t>
        </is>
      </c>
      <c r="I12" s="10" t="inlineStr">
        <is>
          <t>Repair</t>
        </is>
      </c>
      <c r="J12" s="23" t="n">
        <v>0.4</v>
      </c>
      <c r="K12" s="24">
        <f>IF($B12="",0,IF($J12&lt;&gt;"",$J12,IFERROR(VLOOKUP($B12,Setup!$A$5:$G$6,7,FALSE),1)))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14" customWidth="1" min="3" max="3"/>
    <col width="14" customWidth="1" min="4" max="4"/>
    <col width="14" customWidth="1" min="5" max="5"/>
    <col width="18" customWidth="1" min="6" max="6"/>
    <col width="14" customWidth="1" min="7" max="7"/>
    <col hidden="1" width="14" customWidth="1" min="8" max="8"/>
    <col hidden="1" width="13" customWidth="1" min="9" max="9"/>
  </cols>
  <sheetData>
    <row r="1">
      <c r="A1" s="1" t="inlineStr">
        <is>
          <t>T776 Summary</t>
        </is>
      </c>
    </row>
    <row r="2">
      <c r="A2" s="5" t="inlineStr">
        <is>
          <t>Tax year</t>
        </is>
      </c>
      <c r="B2" s="25" t="n">
        <v>2025</v>
      </c>
      <c r="C2" s="2" t="inlineStr">
        <is>
          <t>The single control for the whole workbook.</t>
        </is>
      </c>
    </row>
    <row r="4" ht="36" customHeight="1">
      <c r="A4" s="15" t="inlineStr">
        <is>
          <t>Line</t>
        </is>
      </c>
      <c r="B4" s="15" t="inlineStr">
        <is>
          <t>Description</t>
        </is>
      </c>
      <c r="C4" s="26">
        <f>Setup!$A$5</f>
        <v/>
      </c>
      <c r="D4" s="26">
        <f>Setup!$A$6</f>
        <v/>
      </c>
      <c r="E4" s="15" t="inlineStr">
        <is>
          <t>Total</t>
        </is>
      </c>
      <c r="F4" s="26" t="inlineStr">
        <is>
          <t>Personal portion (9949)</t>
        </is>
      </c>
      <c r="H4" s="7">
        <f>Setup!$A$5</f>
        <v/>
      </c>
      <c r="I4" s="7">
        <f>Setup!$A$6</f>
        <v/>
      </c>
    </row>
    <row r="5">
      <c r="A5" s="9" t="inlineStr">
        <is>
          <t>8141</t>
        </is>
      </c>
      <c r="B5" s="9" t="inlineStr">
        <is>
          <t>Gross rents</t>
        </is>
      </c>
      <c r="C5" s="19">
        <f>SUMIFS('Rent Ledger'!$G$5:$G$12,'Rent Ledger'!$B$5:$B$12,Setup!$A$5,'Rent Ledger'!$A$5:$A$12,"&gt;="&amp;DATE($B$2,1,1),'Rent Ledger'!$A$5:$A$12,"&lt;="&amp;DATE($B$2,12,31))</f>
        <v/>
      </c>
      <c r="D5" s="19">
        <f>SUMIFS('Rent Ledger'!$G$5:$G$12,'Rent Ledger'!$B$5:$B$12,Setup!$A$6,'Rent Ledger'!$A$5:$A$12,"&gt;="&amp;DATE($B$2,1,1),'Rent Ledger'!$A$5:$A$12,"&lt;="&amp;DATE($B$2,12,31))</f>
        <v/>
      </c>
      <c r="E5" s="20">
        <f>SUM(C5:D5)</f>
        <v/>
      </c>
      <c r="F5" s="27" t="n"/>
    </row>
    <row r="6">
      <c r="A6" s="9" t="inlineStr">
        <is>
          <t>8521</t>
        </is>
      </c>
      <c r="B6" s="11" t="inlineStr">
        <is>
          <t>Advertising</t>
        </is>
      </c>
      <c r="C6" s="19">
        <f>SUMPRODUCT((LEFT(Expenses!$C$5:$C$12,4)=$A6)*(Expenses!$B$5:$B$12=Setup!$A$5)*(Expenses!$I$5:$I$12&lt;&gt;"Capital")*(Expenses!$A$5:$A$12&gt;=DATE($B$2,1,1))*(Expenses!$A$5:$A$12&lt;=DATE($B$2,12,31))*Expenses!$F$5:$F$12*Expenses!$K$5:$K$12)</f>
        <v/>
      </c>
      <c r="D6" s="19">
        <f>SUMPRODUCT((LEFT(Expenses!$C$5:$C$12,4)=$A6)*(Expenses!$B$5:$B$12=Setup!$A$6)*(Expenses!$I$5:$I$12&lt;&gt;"Capital")*(Expenses!$A$5:$A$12&gt;=DATE($B$2,1,1))*(Expenses!$A$5:$A$12&lt;=DATE($B$2,12,31))*Expenses!$F$5:$F$12*Expenses!$K$5:$K$12)</f>
        <v/>
      </c>
      <c r="E6" s="20">
        <f>SUM(C6:D6)</f>
        <v/>
      </c>
      <c r="F6" s="19">
        <f>SUM(H6:I6)-E6</f>
        <v/>
      </c>
      <c r="H6" s="28">
        <f>SUMPRODUCT((LEFT(Expenses!$C$5:$C$12,4)=$A6)*(Expenses!$B$5:$B$12=Setup!$A$5)*(Expenses!$I$5:$I$12&lt;&gt;"Capital")*(Expenses!$A$5:$A$12&gt;=DATE($B$2,1,1))*(Expenses!$A$5:$A$12&lt;=DATE($B$2,12,31))*Expenses!$F$5:$F$12)</f>
        <v/>
      </c>
      <c r="I6" s="28">
        <f>SUMPRODUCT((LEFT(Expenses!$C$5:$C$12,4)=$A6)*(Expenses!$B$5:$B$12=Setup!$A$6)*(Expenses!$I$5:$I$12&lt;&gt;"Capital")*(Expenses!$A$5:$A$12&gt;=DATE($B$2,1,1))*(Expenses!$A$5:$A$12&lt;=DATE($B$2,12,31))*Expenses!$F$5:$F$12)</f>
        <v/>
      </c>
    </row>
    <row r="7">
      <c r="A7" s="9" t="inlineStr">
        <is>
          <t>8690</t>
        </is>
      </c>
      <c r="B7" s="11" t="inlineStr">
        <is>
          <t>Insurance</t>
        </is>
      </c>
      <c r="C7" s="19">
        <f>SUMPRODUCT((LEFT(Expenses!$C$5:$C$12,4)=$A7)*(Expenses!$B$5:$B$12=Setup!$A$5)*(Expenses!$I$5:$I$12&lt;&gt;"Capital")*(Expenses!$A$5:$A$12&gt;=DATE($B$2,1,1))*(Expenses!$A$5:$A$12&lt;=DATE($B$2,12,31))*Expenses!$F$5:$F$12*Expenses!$K$5:$K$12)</f>
        <v/>
      </c>
      <c r="D7" s="19">
        <f>SUMPRODUCT((LEFT(Expenses!$C$5:$C$12,4)=$A7)*(Expenses!$B$5:$B$12=Setup!$A$6)*(Expenses!$I$5:$I$12&lt;&gt;"Capital")*(Expenses!$A$5:$A$12&gt;=DATE($B$2,1,1))*(Expenses!$A$5:$A$12&lt;=DATE($B$2,12,31))*Expenses!$F$5:$F$12*Expenses!$K$5:$K$12)</f>
        <v/>
      </c>
      <c r="E7" s="20">
        <f>SUM(C7:D7)</f>
        <v/>
      </c>
      <c r="F7" s="19">
        <f>SUM(H7:I7)-E7</f>
        <v/>
      </c>
      <c r="H7" s="28">
        <f>SUMPRODUCT((LEFT(Expenses!$C$5:$C$12,4)=$A7)*(Expenses!$B$5:$B$12=Setup!$A$5)*(Expenses!$I$5:$I$12&lt;&gt;"Capital")*(Expenses!$A$5:$A$12&gt;=DATE($B$2,1,1))*(Expenses!$A$5:$A$12&lt;=DATE($B$2,12,31))*Expenses!$F$5:$F$12)</f>
        <v/>
      </c>
      <c r="I7" s="28">
        <f>SUMPRODUCT((LEFT(Expenses!$C$5:$C$12,4)=$A7)*(Expenses!$B$5:$B$12=Setup!$A$6)*(Expenses!$I$5:$I$12&lt;&gt;"Capital")*(Expenses!$A$5:$A$12&gt;=DATE($B$2,1,1))*(Expenses!$A$5:$A$12&lt;=DATE($B$2,12,31))*Expenses!$F$5:$F$12)</f>
        <v/>
      </c>
    </row>
    <row r="8">
      <c r="A8" s="9" t="inlineStr">
        <is>
          <t>8710</t>
        </is>
      </c>
      <c r="B8" s="11" t="inlineStr">
        <is>
          <t>Interest and bank charges</t>
        </is>
      </c>
      <c r="C8" s="19">
        <f>SUMPRODUCT((LEFT(Expenses!$C$5:$C$12,4)=$A8)*(Expenses!$B$5:$B$12=Setup!$A$5)*(Expenses!$I$5:$I$12&lt;&gt;"Capital")*(Expenses!$A$5:$A$12&gt;=DATE($B$2,1,1))*(Expenses!$A$5:$A$12&lt;=DATE($B$2,12,31))*Expenses!$F$5:$F$12*Expenses!$K$5:$K$12)</f>
        <v/>
      </c>
      <c r="D8" s="19">
        <f>SUMPRODUCT((LEFT(Expenses!$C$5:$C$12,4)=$A8)*(Expenses!$B$5:$B$12=Setup!$A$6)*(Expenses!$I$5:$I$12&lt;&gt;"Capital")*(Expenses!$A$5:$A$12&gt;=DATE($B$2,1,1))*(Expenses!$A$5:$A$12&lt;=DATE($B$2,12,31))*Expenses!$F$5:$F$12*Expenses!$K$5:$K$12)</f>
        <v/>
      </c>
      <c r="E8" s="20">
        <f>SUM(C8:D8)</f>
        <v/>
      </c>
      <c r="F8" s="19">
        <f>SUM(H8:I8)-E8</f>
        <v/>
      </c>
      <c r="H8" s="28">
        <f>SUMPRODUCT((LEFT(Expenses!$C$5:$C$12,4)=$A8)*(Expenses!$B$5:$B$12=Setup!$A$5)*(Expenses!$I$5:$I$12&lt;&gt;"Capital")*(Expenses!$A$5:$A$12&gt;=DATE($B$2,1,1))*(Expenses!$A$5:$A$12&lt;=DATE($B$2,12,31))*Expenses!$F$5:$F$12)</f>
        <v/>
      </c>
      <c r="I8" s="28">
        <f>SUMPRODUCT((LEFT(Expenses!$C$5:$C$12,4)=$A8)*(Expenses!$B$5:$B$12=Setup!$A$6)*(Expenses!$I$5:$I$12&lt;&gt;"Capital")*(Expenses!$A$5:$A$12&gt;=DATE($B$2,1,1))*(Expenses!$A$5:$A$12&lt;=DATE($B$2,12,31))*Expenses!$F$5:$F$12)</f>
        <v/>
      </c>
    </row>
    <row r="9">
      <c r="A9" s="9" t="inlineStr">
        <is>
          <t>8810</t>
        </is>
      </c>
      <c r="B9" s="11" t="inlineStr">
        <is>
          <t>Office expenses</t>
        </is>
      </c>
      <c r="C9" s="19">
        <f>SUMPRODUCT((LEFT(Expenses!$C$5:$C$12,4)=$A9)*(Expenses!$B$5:$B$12=Setup!$A$5)*(Expenses!$I$5:$I$12&lt;&gt;"Capital")*(Expenses!$A$5:$A$12&gt;=DATE($B$2,1,1))*(Expenses!$A$5:$A$12&lt;=DATE($B$2,12,31))*Expenses!$F$5:$F$12*Expenses!$K$5:$K$12)</f>
        <v/>
      </c>
      <c r="D9" s="19">
        <f>SUMPRODUCT((LEFT(Expenses!$C$5:$C$12,4)=$A9)*(Expenses!$B$5:$B$12=Setup!$A$6)*(Expenses!$I$5:$I$12&lt;&gt;"Capital")*(Expenses!$A$5:$A$12&gt;=DATE($B$2,1,1))*(Expenses!$A$5:$A$12&lt;=DATE($B$2,12,31))*Expenses!$F$5:$F$12*Expenses!$K$5:$K$12)</f>
        <v/>
      </c>
      <c r="E9" s="20">
        <f>SUM(C9:D9)</f>
        <v/>
      </c>
      <c r="F9" s="19">
        <f>SUM(H9:I9)-E9</f>
        <v/>
      </c>
      <c r="H9" s="28">
        <f>SUMPRODUCT((LEFT(Expenses!$C$5:$C$12,4)=$A9)*(Expenses!$B$5:$B$12=Setup!$A$5)*(Expenses!$I$5:$I$12&lt;&gt;"Capital")*(Expenses!$A$5:$A$12&gt;=DATE($B$2,1,1))*(Expenses!$A$5:$A$12&lt;=DATE($B$2,12,31))*Expenses!$F$5:$F$12)</f>
        <v/>
      </c>
      <c r="I9" s="28">
        <f>SUMPRODUCT((LEFT(Expenses!$C$5:$C$12,4)=$A9)*(Expenses!$B$5:$B$12=Setup!$A$6)*(Expenses!$I$5:$I$12&lt;&gt;"Capital")*(Expenses!$A$5:$A$12&gt;=DATE($B$2,1,1))*(Expenses!$A$5:$A$12&lt;=DATE($B$2,12,31))*Expenses!$F$5:$F$12)</f>
        <v/>
      </c>
    </row>
    <row r="10">
      <c r="A10" s="9" t="inlineStr">
        <is>
          <t>8860</t>
        </is>
      </c>
      <c r="B10" s="11" t="inlineStr">
        <is>
          <t>Professional fees</t>
        </is>
      </c>
      <c r="C10" s="19">
        <f>SUMPRODUCT((LEFT(Expenses!$C$5:$C$12,4)=$A10)*(Expenses!$B$5:$B$12=Setup!$A$5)*(Expenses!$I$5:$I$12&lt;&gt;"Capital")*(Expenses!$A$5:$A$12&gt;=DATE($B$2,1,1))*(Expenses!$A$5:$A$12&lt;=DATE($B$2,12,31))*Expenses!$F$5:$F$12*Expenses!$K$5:$K$12)</f>
        <v/>
      </c>
      <c r="D10" s="19">
        <f>SUMPRODUCT((LEFT(Expenses!$C$5:$C$12,4)=$A10)*(Expenses!$B$5:$B$12=Setup!$A$6)*(Expenses!$I$5:$I$12&lt;&gt;"Capital")*(Expenses!$A$5:$A$12&gt;=DATE($B$2,1,1))*(Expenses!$A$5:$A$12&lt;=DATE($B$2,12,31))*Expenses!$F$5:$F$12*Expenses!$K$5:$K$12)</f>
        <v/>
      </c>
      <c r="E10" s="20">
        <f>SUM(C10:D10)</f>
        <v/>
      </c>
      <c r="F10" s="19">
        <f>SUM(H10:I10)-E10</f>
        <v/>
      </c>
      <c r="H10" s="28">
        <f>SUMPRODUCT((LEFT(Expenses!$C$5:$C$12,4)=$A10)*(Expenses!$B$5:$B$12=Setup!$A$5)*(Expenses!$I$5:$I$12&lt;&gt;"Capital")*(Expenses!$A$5:$A$12&gt;=DATE($B$2,1,1))*(Expenses!$A$5:$A$12&lt;=DATE($B$2,12,31))*Expenses!$F$5:$F$12)</f>
        <v/>
      </c>
      <c r="I10" s="28">
        <f>SUMPRODUCT((LEFT(Expenses!$C$5:$C$12,4)=$A10)*(Expenses!$B$5:$B$12=Setup!$A$6)*(Expenses!$I$5:$I$12&lt;&gt;"Capital")*(Expenses!$A$5:$A$12&gt;=DATE($B$2,1,1))*(Expenses!$A$5:$A$12&lt;=DATE($B$2,12,31))*Expenses!$F$5:$F$12)</f>
        <v/>
      </c>
    </row>
    <row r="11">
      <c r="A11" s="9" t="inlineStr">
        <is>
          <t>8871</t>
        </is>
      </c>
      <c r="B11" s="11" t="inlineStr">
        <is>
          <t>Management and administration fees</t>
        </is>
      </c>
      <c r="C11" s="19">
        <f>SUMPRODUCT((LEFT(Expenses!$C$5:$C$12,4)=$A11)*(Expenses!$B$5:$B$12=Setup!$A$5)*(Expenses!$I$5:$I$12&lt;&gt;"Capital")*(Expenses!$A$5:$A$12&gt;=DATE($B$2,1,1))*(Expenses!$A$5:$A$12&lt;=DATE($B$2,12,31))*Expenses!$F$5:$F$12*Expenses!$K$5:$K$12)</f>
        <v/>
      </c>
      <c r="D11" s="19">
        <f>SUMPRODUCT((LEFT(Expenses!$C$5:$C$12,4)=$A11)*(Expenses!$B$5:$B$12=Setup!$A$6)*(Expenses!$I$5:$I$12&lt;&gt;"Capital")*(Expenses!$A$5:$A$12&gt;=DATE($B$2,1,1))*(Expenses!$A$5:$A$12&lt;=DATE($B$2,12,31))*Expenses!$F$5:$F$12*Expenses!$K$5:$K$12)</f>
        <v/>
      </c>
      <c r="E11" s="20">
        <f>SUM(C11:D11)</f>
        <v/>
      </c>
      <c r="F11" s="19">
        <f>SUM(H11:I11)-E11</f>
        <v/>
      </c>
      <c r="H11" s="28">
        <f>SUMPRODUCT((LEFT(Expenses!$C$5:$C$12,4)=$A11)*(Expenses!$B$5:$B$12=Setup!$A$5)*(Expenses!$I$5:$I$12&lt;&gt;"Capital")*(Expenses!$A$5:$A$12&gt;=DATE($B$2,1,1))*(Expenses!$A$5:$A$12&lt;=DATE($B$2,12,31))*Expenses!$F$5:$F$12)</f>
        <v/>
      </c>
      <c r="I11" s="28">
        <f>SUMPRODUCT((LEFT(Expenses!$C$5:$C$12,4)=$A11)*(Expenses!$B$5:$B$12=Setup!$A$6)*(Expenses!$I$5:$I$12&lt;&gt;"Capital")*(Expenses!$A$5:$A$12&gt;=DATE($B$2,1,1))*(Expenses!$A$5:$A$12&lt;=DATE($B$2,12,31))*Expenses!$F$5:$F$12)</f>
        <v/>
      </c>
    </row>
    <row r="12">
      <c r="A12" s="9" t="inlineStr">
        <is>
          <t>8960</t>
        </is>
      </c>
      <c r="B12" s="11" t="inlineStr">
        <is>
          <t>Repairs and maintenance</t>
        </is>
      </c>
      <c r="C12" s="19">
        <f>SUMPRODUCT((LEFT(Expenses!$C$5:$C$12,4)=$A12)*(Expenses!$B$5:$B$12=Setup!$A$5)*(Expenses!$I$5:$I$12&lt;&gt;"Capital")*(Expenses!$A$5:$A$12&gt;=DATE($B$2,1,1))*(Expenses!$A$5:$A$12&lt;=DATE($B$2,12,31))*Expenses!$F$5:$F$12*Expenses!$K$5:$K$12)</f>
        <v/>
      </c>
      <c r="D12" s="19">
        <f>SUMPRODUCT((LEFT(Expenses!$C$5:$C$12,4)=$A12)*(Expenses!$B$5:$B$12=Setup!$A$6)*(Expenses!$I$5:$I$12&lt;&gt;"Capital")*(Expenses!$A$5:$A$12&gt;=DATE($B$2,1,1))*(Expenses!$A$5:$A$12&lt;=DATE($B$2,12,31))*Expenses!$F$5:$F$12*Expenses!$K$5:$K$12)</f>
        <v/>
      </c>
      <c r="E12" s="20">
        <f>SUM(C12:D12)</f>
        <v/>
      </c>
      <c r="F12" s="19">
        <f>SUM(H12:I12)-E12</f>
        <v/>
      </c>
      <c r="H12" s="28">
        <f>SUMPRODUCT((LEFT(Expenses!$C$5:$C$12,4)=$A12)*(Expenses!$B$5:$B$12=Setup!$A$5)*(Expenses!$I$5:$I$12&lt;&gt;"Capital")*(Expenses!$A$5:$A$12&gt;=DATE($B$2,1,1))*(Expenses!$A$5:$A$12&lt;=DATE($B$2,12,31))*Expenses!$F$5:$F$12)</f>
        <v/>
      </c>
      <c r="I12" s="28">
        <f>SUMPRODUCT((LEFT(Expenses!$C$5:$C$12,4)=$A12)*(Expenses!$B$5:$B$12=Setup!$A$6)*(Expenses!$I$5:$I$12&lt;&gt;"Capital")*(Expenses!$A$5:$A$12&gt;=DATE($B$2,1,1))*(Expenses!$A$5:$A$12&lt;=DATE($B$2,12,31))*Expenses!$F$5:$F$12)</f>
        <v/>
      </c>
    </row>
    <row r="13">
      <c r="A13" s="9" t="inlineStr">
        <is>
          <t>9060</t>
        </is>
      </c>
      <c r="B13" s="11" t="inlineStr">
        <is>
          <t>Salaries, wages and benefits</t>
        </is>
      </c>
      <c r="C13" s="19">
        <f>SUMPRODUCT((LEFT(Expenses!$C$5:$C$12,4)=$A13)*(Expenses!$B$5:$B$12=Setup!$A$5)*(Expenses!$I$5:$I$12&lt;&gt;"Capital")*(Expenses!$A$5:$A$12&gt;=DATE($B$2,1,1))*(Expenses!$A$5:$A$12&lt;=DATE($B$2,12,31))*Expenses!$F$5:$F$12*Expenses!$K$5:$K$12)</f>
        <v/>
      </c>
      <c r="D13" s="19">
        <f>SUMPRODUCT((LEFT(Expenses!$C$5:$C$12,4)=$A13)*(Expenses!$B$5:$B$12=Setup!$A$6)*(Expenses!$I$5:$I$12&lt;&gt;"Capital")*(Expenses!$A$5:$A$12&gt;=DATE($B$2,1,1))*(Expenses!$A$5:$A$12&lt;=DATE($B$2,12,31))*Expenses!$F$5:$F$12*Expenses!$K$5:$K$12)</f>
        <v/>
      </c>
      <c r="E13" s="20">
        <f>SUM(C13:D13)</f>
        <v/>
      </c>
      <c r="F13" s="19">
        <f>SUM(H13:I13)-E13</f>
        <v/>
      </c>
      <c r="H13" s="28">
        <f>SUMPRODUCT((LEFT(Expenses!$C$5:$C$12,4)=$A13)*(Expenses!$B$5:$B$12=Setup!$A$5)*(Expenses!$I$5:$I$12&lt;&gt;"Capital")*(Expenses!$A$5:$A$12&gt;=DATE($B$2,1,1))*(Expenses!$A$5:$A$12&lt;=DATE($B$2,12,31))*Expenses!$F$5:$F$12)</f>
        <v/>
      </c>
      <c r="I13" s="28">
        <f>SUMPRODUCT((LEFT(Expenses!$C$5:$C$12,4)=$A13)*(Expenses!$B$5:$B$12=Setup!$A$6)*(Expenses!$I$5:$I$12&lt;&gt;"Capital")*(Expenses!$A$5:$A$12&gt;=DATE($B$2,1,1))*(Expenses!$A$5:$A$12&lt;=DATE($B$2,12,31))*Expenses!$F$5:$F$12)</f>
        <v/>
      </c>
    </row>
    <row r="14">
      <c r="A14" s="9" t="inlineStr">
        <is>
          <t>9180</t>
        </is>
      </c>
      <c r="B14" s="11" t="inlineStr">
        <is>
          <t>Property taxes</t>
        </is>
      </c>
      <c r="C14" s="19">
        <f>SUMPRODUCT((LEFT(Expenses!$C$5:$C$12,4)=$A14)*(Expenses!$B$5:$B$12=Setup!$A$5)*(Expenses!$I$5:$I$12&lt;&gt;"Capital")*(Expenses!$A$5:$A$12&gt;=DATE($B$2,1,1))*(Expenses!$A$5:$A$12&lt;=DATE($B$2,12,31))*Expenses!$F$5:$F$12*Expenses!$K$5:$K$12)</f>
        <v/>
      </c>
      <c r="D14" s="19">
        <f>SUMPRODUCT((LEFT(Expenses!$C$5:$C$12,4)=$A14)*(Expenses!$B$5:$B$12=Setup!$A$6)*(Expenses!$I$5:$I$12&lt;&gt;"Capital")*(Expenses!$A$5:$A$12&gt;=DATE($B$2,1,1))*(Expenses!$A$5:$A$12&lt;=DATE($B$2,12,31))*Expenses!$F$5:$F$12*Expenses!$K$5:$K$12)</f>
        <v/>
      </c>
      <c r="E14" s="20">
        <f>SUM(C14:D14)</f>
        <v/>
      </c>
      <c r="F14" s="19">
        <f>SUM(H14:I14)-E14</f>
        <v/>
      </c>
      <c r="H14" s="28">
        <f>SUMPRODUCT((LEFT(Expenses!$C$5:$C$12,4)=$A14)*(Expenses!$B$5:$B$12=Setup!$A$5)*(Expenses!$I$5:$I$12&lt;&gt;"Capital")*(Expenses!$A$5:$A$12&gt;=DATE($B$2,1,1))*(Expenses!$A$5:$A$12&lt;=DATE($B$2,12,31))*Expenses!$F$5:$F$12)</f>
        <v/>
      </c>
      <c r="I14" s="28">
        <f>SUMPRODUCT((LEFT(Expenses!$C$5:$C$12,4)=$A14)*(Expenses!$B$5:$B$12=Setup!$A$6)*(Expenses!$I$5:$I$12&lt;&gt;"Capital")*(Expenses!$A$5:$A$12&gt;=DATE($B$2,1,1))*(Expenses!$A$5:$A$12&lt;=DATE($B$2,12,31))*Expenses!$F$5:$F$12)</f>
        <v/>
      </c>
    </row>
    <row r="15">
      <c r="A15" s="9" t="inlineStr">
        <is>
          <t>9200</t>
        </is>
      </c>
      <c r="B15" s="11" t="inlineStr">
        <is>
          <t>Travel</t>
        </is>
      </c>
      <c r="C15" s="19">
        <f>SUMPRODUCT((LEFT(Expenses!$C$5:$C$12,4)=$A15)*(Expenses!$B$5:$B$12=Setup!$A$5)*(Expenses!$I$5:$I$12&lt;&gt;"Capital")*(Expenses!$A$5:$A$12&gt;=DATE($B$2,1,1))*(Expenses!$A$5:$A$12&lt;=DATE($B$2,12,31))*Expenses!$F$5:$F$12*Expenses!$K$5:$K$12)</f>
        <v/>
      </c>
      <c r="D15" s="19">
        <f>SUMPRODUCT((LEFT(Expenses!$C$5:$C$12,4)=$A15)*(Expenses!$B$5:$B$12=Setup!$A$6)*(Expenses!$I$5:$I$12&lt;&gt;"Capital")*(Expenses!$A$5:$A$12&gt;=DATE($B$2,1,1))*(Expenses!$A$5:$A$12&lt;=DATE($B$2,12,31))*Expenses!$F$5:$F$12*Expenses!$K$5:$K$12)</f>
        <v/>
      </c>
      <c r="E15" s="20">
        <f>SUM(C15:D15)</f>
        <v/>
      </c>
      <c r="F15" s="19">
        <f>SUM(H15:I15)-E15</f>
        <v/>
      </c>
      <c r="H15" s="28">
        <f>SUMPRODUCT((LEFT(Expenses!$C$5:$C$12,4)=$A15)*(Expenses!$B$5:$B$12=Setup!$A$5)*(Expenses!$I$5:$I$12&lt;&gt;"Capital")*(Expenses!$A$5:$A$12&gt;=DATE($B$2,1,1))*(Expenses!$A$5:$A$12&lt;=DATE($B$2,12,31))*Expenses!$F$5:$F$12)</f>
        <v/>
      </c>
      <c r="I15" s="28">
        <f>SUMPRODUCT((LEFT(Expenses!$C$5:$C$12,4)=$A15)*(Expenses!$B$5:$B$12=Setup!$A$6)*(Expenses!$I$5:$I$12&lt;&gt;"Capital")*(Expenses!$A$5:$A$12&gt;=DATE($B$2,1,1))*(Expenses!$A$5:$A$12&lt;=DATE($B$2,12,31))*Expenses!$F$5:$F$12)</f>
        <v/>
      </c>
    </row>
    <row r="16">
      <c r="A16" s="9" t="inlineStr">
        <is>
          <t>9220</t>
        </is>
      </c>
      <c r="B16" s="11" t="inlineStr">
        <is>
          <t>Utilities</t>
        </is>
      </c>
      <c r="C16" s="19">
        <f>SUMPRODUCT((LEFT(Expenses!$C$5:$C$12,4)=$A16)*(Expenses!$B$5:$B$12=Setup!$A$5)*(Expenses!$I$5:$I$12&lt;&gt;"Capital")*(Expenses!$A$5:$A$12&gt;=DATE($B$2,1,1))*(Expenses!$A$5:$A$12&lt;=DATE($B$2,12,31))*Expenses!$F$5:$F$12*Expenses!$K$5:$K$12)</f>
        <v/>
      </c>
      <c r="D16" s="19">
        <f>SUMPRODUCT((LEFT(Expenses!$C$5:$C$12,4)=$A16)*(Expenses!$B$5:$B$12=Setup!$A$6)*(Expenses!$I$5:$I$12&lt;&gt;"Capital")*(Expenses!$A$5:$A$12&gt;=DATE($B$2,1,1))*(Expenses!$A$5:$A$12&lt;=DATE($B$2,12,31))*Expenses!$F$5:$F$12*Expenses!$K$5:$K$12)</f>
        <v/>
      </c>
      <c r="E16" s="20">
        <f>SUM(C16:D16)</f>
        <v/>
      </c>
      <c r="F16" s="19">
        <f>SUM(H16:I16)-E16</f>
        <v/>
      </c>
      <c r="H16" s="28">
        <f>SUMPRODUCT((LEFT(Expenses!$C$5:$C$12,4)=$A16)*(Expenses!$B$5:$B$12=Setup!$A$5)*(Expenses!$I$5:$I$12&lt;&gt;"Capital")*(Expenses!$A$5:$A$12&gt;=DATE($B$2,1,1))*(Expenses!$A$5:$A$12&lt;=DATE($B$2,12,31))*Expenses!$F$5:$F$12)</f>
        <v/>
      </c>
      <c r="I16" s="28">
        <f>SUMPRODUCT((LEFT(Expenses!$C$5:$C$12,4)=$A16)*(Expenses!$B$5:$B$12=Setup!$A$6)*(Expenses!$I$5:$I$12&lt;&gt;"Capital")*(Expenses!$A$5:$A$12&gt;=DATE($B$2,1,1))*(Expenses!$A$5:$A$12&lt;=DATE($B$2,12,31))*Expenses!$F$5:$F$12)</f>
        <v/>
      </c>
    </row>
    <row r="17">
      <c r="A17" s="9" t="inlineStr">
        <is>
          <t>9281</t>
        </is>
      </c>
      <c r="B17" s="11" t="inlineStr">
        <is>
          <t>Motor vehicle expenses</t>
        </is>
      </c>
      <c r="C17" s="19">
        <f>SUMPRODUCT((LEFT(Expenses!$C$5:$C$12,4)=$A17)*(Expenses!$B$5:$B$12=Setup!$A$5)*(Expenses!$I$5:$I$12&lt;&gt;"Capital")*(Expenses!$A$5:$A$12&gt;=DATE($B$2,1,1))*(Expenses!$A$5:$A$12&lt;=DATE($B$2,12,31))*Expenses!$F$5:$F$12*Expenses!$K$5:$K$12)</f>
        <v/>
      </c>
      <c r="D17" s="19">
        <f>SUMPRODUCT((LEFT(Expenses!$C$5:$C$12,4)=$A17)*(Expenses!$B$5:$B$12=Setup!$A$6)*(Expenses!$I$5:$I$12&lt;&gt;"Capital")*(Expenses!$A$5:$A$12&gt;=DATE($B$2,1,1))*(Expenses!$A$5:$A$12&lt;=DATE($B$2,12,31))*Expenses!$F$5:$F$12*Expenses!$K$5:$K$12)</f>
        <v/>
      </c>
      <c r="E17" s="20">
        <f>SUM(C17:D17)</f>
        <v/>
      </c>
      <c r="F17" s="19">
        <f>SUM(H17:I17)-E17</f>
        <v/>
      </c>
      <c r="H17" s="28">
        <f>SUMPRODUCT((LEFT(Expenses!$C$5:$C$12,4)=$A17)*(Expenses!$B$5:$B$12=Setup!$A$5)*(Expenses!$I$5:$I$12&lt;&gt;"Capital")*(Expenses!$A$5:$A$12&gt;=DATE($B$2,1,1))*(Expenses!$A$5:$A$12&lt;=DATE($B$2,12,31))*Expenses!$F$5:$F$12)</f>
        <v/>
      </c>
      <c r="I17" s="28">
        <f>SUMPRODUCT((LEFT(Expenses!$C$5:$C$12,4)=$A17)*(Expenses!$B$5:$B$12=Setup!$A$6)*(Expenses!$I$5:$I$12&lt;&gt;"Capital")*(Expenses!$A$5:$A$12&gt;=DATE($B$2,1,1))*(Expenses!$A$5:$A$12&lt;=DATE($B$2,12,31))*Expenses!$F$5:$F$12)</f>
        <v/>
      </c>
    </row>
    <row r="18">
      <c r="A18" s="9" t="inlineStr">
        <is>
          <t>9270</t>
        </is>
      </c>
      <c r="B18" s="11" t="inlineStr">
        <is>
          <t>Other expenses</t>
        </is>
      </c>
      <c r="C18" s="19">
        <f>SUMPRODUCT((LEFT(Expenses!$C$5:$C$12,4)=$A18)*(Expenses!$B$5:$B$12=Setup!$A$5)*(Expenses!$I$5:$I$12&lt;&gt;"Capital")*(Expenses!$A$5:$A$12&gt;=DATE($B$2,1,1))*(Expenses!$A$5:$A$12&lt;=DATE($B$2,12,31))*Expenses!$F$5:$F$12*Expenses!$K$5:$K$12)</f>
        <v/>
      </c>
      <c r="D18" s="19">
        <f>SUMPRODUCT((LEFT(Expenses!$C$5:$C$12,4)=$A18)*(Expenses!$B$5:$B$12=Setup!$A$6)*(Expenses!$I$5:$I$12&lt;&gt;"Capital")*(Expenses!$A$5:$A$12&gt;=DATE($B$2,1,1))*(Expenses!$A$5:$A$12&lt;=DATE($B$2,12,31))*Expenses!$F$5:$F$12*Expenses!$K$5:$K$12)</f>
        <v/>
      </c>
      <c r="E18" s="20">
        <f>SUM(C18:D18)</f>
        <v/>
      </c>
      <c r="F18" s="19">
        <f>SUM(H18:I18)-E18</f>
        <v/>
      </c>
      <c r="H18" s="28">
        <f>SUMPRODUCT((LEFT(Expenses!$C$5:$C$12,4)=$A18)*(Expenses!$B$5:$B$12=Setup!$A$5)*(Expenses!$I$5:$I$12&lt;&gt;"Capital")*(Expenses!$A$5:$A$12&gt;=DATE($B$2,1,1))*(Expenses!$A$5:$A$12&lt;=DATE($B$2,12,31))*Expenses!$F$5:$F$12)</f>
        <v/>
      </c>
      <c r="I18" s="28">
        <f>SUMPRODUCT((LEFT(Expenses!$C$5:$C$12,4)=$A18)*(Expenses!$B$5:$B$12=Setup!$A$6)*(Expenses!$I$5:$I$12&lt;&gt;"Capital")*(Expenses!$A$5:$A$12&gt;=DATE($B$2,1,1))*(Expenses!$A$5:$A$12&lt;=DATE($B$2,12,31))*Expenses!$F$5:$F$12)</f>
        <v/>
      </c>
    </row>
    <row r="19">
      <c r="A19" s="29" t="inlineStr">
        <is>
          <t>A</t>
        </is>
      </c>
      <c r="B19" s="29" t="inlineStr">
        <is>
          <t>Amount A - total expenses, before the personal-use adjustment</t>
        </is>
      </c>
      <c r="C19" s="29" t="n"/>
      <c r="D19" s="29" t="n"/>
      <c r="E19" s="21">
        <f>E6+E7+E8+E9+E10+E11+E12+E13+E14+E15+E16+E17+E18+F6+F7+F8+F9+F10+F11+F12+F13+F14+F15+F16+F17+F18</f>
        <v/>
      </c>
      <c r="F19" s="29" t="n"/>
    </row>
    <row r="20">
      <c r="A20" s="29" t="inlineStr">
        <is>
          <t>9949</t>
        </is>
      </c>
      <c r="B20" s="29" t="inlineStr">
        <is>
          <t>Total for personal portion</t>
        </is>
      </c>
      <c r="C20" s="29" t="n"/>
      <c r="D20" s="29" t="n"/>
      <c r="E20" s="21">
        <f>F6+F7+F8+F9+F10+F11+F12+F13+F14+F15+F16+F17+F18</f>
        <v/>
      </c>
      <c r="F20" s="29" t="n"/>
    </row>
    <row r="21">
      <c r="A21" s="29" t="n"/>
      <c r="B21" s="29" t="inlineStr">
        <is>
          <t>Deductible expenses (Amount A minus line 9949)</t>
        </is>
      </c>
      <c r="C21" s="29" t="n"/>
      <c r="D21" s="29" t="n"/>
      <c r="E21" s="21">
        <f>E6+E7+E8+E9+E10+E11+E12+E13+E14+E15+E16+E17+E18</f>
        <v/>
      </c>
      <c r="F21" s="29" t="n"/>
    </row>
    <row r="22">
      <c r="A22" s="27" t="inlineStr">
        <is>
          <t>9369</t>
        </is>
      </c>
      <c r="B22" s="27" t="inlineStr">
        <is>
          <t>Net income (loss) before adjustments</t>
        </is>
      </c>
      <c r="C22" s="27" t="n"/>
      <c r="D22" s="27" t="n"/>
      <c r="E22" s="30">
        <f>E5-E21</f>
        <v/>
      </c>
      <c r="F22" s="27" t="n"/>
    </row>
    <row r="24">
      <c r="B24" s="22" t="inlineStr">
        <is>
          <t>Same arithmetic as the paid file, cut to two properties. Gross rents come from the Rent Ledger; each expense line is totalled from the Expenses tab and multiplied by the property's rental share. Example figures only — invented for this sample.</t>
        </is>
      </c>
    </row>
    <row r="25"/>
  </sheetData>
  <mergeCells count="1">
    <mergeCell ref="B24: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T776 Rental Books</dc:creator>
  <dc:title xmlns:dc="http://purl.org/dc/elements/1.1/">T776 Rental Books - free partial sample</dc:title>
  <dc:description xmlns:dc="http://purl.org/dc/elements/1.1/">Free partial sample of T776 Rental Books: the paid workbook's own header rows and T776 Summary arithmetic, reduced to two properties and filled with invented example figures. A bookkeeping aid, not tax advice.</dc:description>
  <dcterms:created xmlns:dcterms="http://purl.org/dc/terms/" xmlns:xsi="http://www.w3.org/2001/XMLSchema-instance" xsi:type="dcterms:W3CDTF">2026-10-09T00:22:17Z</dcterms:created>
  <dcterms:modified xmlns:dcterms="http://purl.org/dc/terms/" xmlns:xsi="http://www.w3.org/2001/XMLSchema-instance" xsi:type="dcterms:W3CDTF">2026-10-09T00:22:17Z</dcterms:modified>
</cp:coreProperties>
</file>