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776 Summary" sheetId="1" state="visible" r:id="rId1"/>
  </sheets>
  <definedNames/>
  <calcPr calcId="124519" fullCalcOnLoad="1"/>
</workbook>
</file>

<file path=xl/styles.xml><?xml version="1.0" encoding="utf-8"?>
<styleSheet xmlns="http://schemas.openxmlformats.org/spreadsheetml/2006/main">
  <numFmts count="3">
    <numFmt numFmtId="164" formatCode="&quot;$&quot;#,##0.00"/>
    <numFmt numFmtId="165" formatCode="yyyy-mm-dd"/>
    <numFmt numFmtId="166" formatCode="0%;-0%;&quot;&quot;"/>
  </numFmts>
  <fonts count="11">
    <font>
      <name val="Calibri"/>
      <family val="2"/>
      <color theme="1"/>
      <sz val="11"/>
      <scheme val="minor"/>
    </font>
    <font>
      <name val="Calibri"/>
      <b val="1"/>
      <color rgb="001B1B18"/>
      <sz val="16"/>
    </font>
    <font>
      <name val="Calibri"/>
      <b val="1"/>
      <color rgb="001B1B18"/>
      <sz val="10"/>
    </font>
    <font>
      <name val="Calibri"/>
      <b val="1"/>
      <color rgb="001B4D3E"/>
      <sz val="12"/>
    </font>
    <font>
      <name val="Calibri"/>
      <i val="1"/>
      <color rgb="006B675E"/>
      <sz val="10"/>
    </font>
    <font>
      <name val="Calibri"/>
      <b val="1"/>
      <color rgb="00FFFFFF"/>
      <sz val="10"/>
    </font>
    <font>
      <name val="Calibri"/>
      <color rgb="006B675E"/>
      <sz val="9"/>
    </font>
    <font>
      <name val="Calibri"/>
      <color rgb="001B1B18"/>
      <sz val="10"/>
    </font>
    <font>
      <name val="Calibri"/>
      <b val="1"/>
      <color rgb="001B4D3E"/>
      <sz val="11"/>
    </font>
    <font>
      <name val="Calibri"/>
      <b val="1"/>
      <color rgb="008A3A16"/>
      <sz val="10"/>
    </font>
    <font>
      <name val="Calibri"/>
      <color rgb="001B4D3E"/>
      <sz val="9"/>
      <u val="single"/>
    </font>
  </fonts>
  <fills count="5">
    <fill>
      <patternFill/>
    </fill>
    <fill>
      <patternFill patternType="gray125"/>
    </fill>
    <fill>
      <patternFill patternType="solid">
        <fgColor rgb="00FFFDF7"/>
      </patternFill>
    </fill>
    <fill>
      <patternFill patternType="solid">
        <fgColor rgb="001B4D3E"/>
      </patternFill>
    </fill>
    <fill>
      <patternFill patternType="solid">
        <fgColor rgb="00F4F1EA"/>
      </patternFill>
    </fill>
  </fills>
  <borders count="2">
    <border>
      <left/>
      <right/>
      <top/>
      <bottom/>
      <diagonal/>
    </border>
    <border>
      <left style="thin">
        <color rgb="00C9C4B8"/>
      </left>
      <right style="thin">
        <color rgb="00C9C4B8"/>
      </right>
      <top style="thin">
        <color rgb="00C9C4B8"/>
      </top>
      <bottom style="thin">
        <color rgb="00C9C4B8"/>
      </bottom>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pivotButton="0" quotePrefix="0" xfId="0"/>
    <xf numFmtId="1" fontId="3" fillId="2" borderId="1" pivotButton="0" quotePrefix="0" xfId="0"/>
    <xf numFmtId="0" fontId="4" fillId="0" borderId="0" pivotButton="0" quotePrefix="0" xfId="0"/>
    <xf numFmtId="0" fontId="5" fillId="3" borderId="1" applyAlignment="1" pivotButton="0" quotePrefix="0" xfId="0">
      <alignment horizontal="left" vertical="center" wrapText="1"/>
    </xf>
    <xf numFmtId="0" fontId="5" fillId="3" borderId="1" applyAlignment="1" pivotButton="0" quotePrefix="0" xfId="0">
      <alignment horizontal="center" wrapText="1"/>
    </xf>
    <xf numFmtId="0" fontId="6" fillId="0" borderId="0" pivotButton="0" quotePrefix="0" xfId="0"/>
    <xf numFmtId="0" fontId="2" fillId="0" borderId="1" pivotButton="0" quotePrefix="0" xfId="0"/>
    <xf numFmtId="164" fontId="7" fillId="0" borderId="1" pivotButton="0" quotePrefix="0" xfId="0"/>
    <xf numFmtId="164" fontId="2" fillId="0" borderId="1" pivotButton="0" quotePrefix="0" xfId="0"/>
    <xf numFmtId="0" fontId="0" fillId="0" borderId="1" pivotButton="0" quotePrefix="0" xfId="0"/>
    <xf numFmtId="0" fontId="7" fillId="0" borderId="1" pivotButton="0" quotePrefix="0" xfId="0"/>
    <xf numFmtId="164" fontId="6" fillId="0" borderId="0" pivotButton="0" quotePrefix="0" xfId="0"/>
    <xf numFmtId="0" fontId="0" fillId="4" borderId="1" pivotButton="0" quotePrefix="0" xfId="0"/>
    <xf numFmtId="164" fontId="2" fillId="4" borderId="1" pivotButton="0" quotePrefix="0" xfId="0"/>
    <xf numFmtId="164" fontId="8" fillId="4" borderId="1" pivotButton="0" quotePrefix="0" xfId="0"/>
    <xf numFmtId="0" fontId="6" fillId="0" borderId="0" applyAlignment="1" pivotButton="0" quotePrefix="0" xfId="0">
      <alignment vertical="top" wrapText="1"/>
    </xf>
    <xf numFmtId="0" fontId="9" fillId="0" borderId="0" applyAlignment="1" pivotButton="0" quotePrefix="0" xfId="0">
      <alignment vertical="top" wrapText="1"/>
    </xf>
    <xf numFmtId="0" fontId="7" fillId="2" borderId="1" pivotButton="0" quotePrefix="0" xfId="0"/>
    <xf numFmtId="9" fontId="7" fillId="0" borderId="1" pivotButton="0" quotePrefix="0" xfId="0"/>
    <xf numFmtId="165" fontId="7" fillId="0" borderId="1" pivotButton="0" quotePrefix="0" xfId="0"/>
    <xf numFmtId="0" fontId="7" fillId="4" borderId="1" pivotButton="0" quotePrefix="0" xfId="0"/>
    <xf numFmtId="165" fontId="7" fillId="2" borderId="1" pivotButton="0" quotePrefix="0" xfId="0"/>
    <xf numFmtId="164" fontId="7" fillId="2" borderId="1" pivotButton="0" quotePrefix="0" xfId="0"/>
    <xf numFmtId="9" fontId="7" fillId="2" borderId="1" pivotButton="0" quotePrefix="0" xfId="0"/>
    <xf numFmtId="166" fontId="6" fillId="4" borderId="0" pivotButton="0" quotePrefix="0" xfId="0"/>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axhemmerich.gumroad.com/l/emzclv" TargetMode="External" Id="rId1"/></Relationships>
</file>

<file path=xl/worksheets/sheet1.xml><?xml version="1.0" encoding="utf-8"?>
<worksheet xmlns="http://schemas.openxmlformats.org/spreadsheetml/2006/main">
  <sheetPr>
    <outlinePr summaryBelow="1" summaryRight="1"/>
    <pageSetUpPr/>
  </sheetPr>
  <dimension ref="A1:X6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3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6" customWidth="1" min="13" max="13"/>
    <col width="18"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s>
  <sheetData>
    <row r="1">
      <c r="A1" s="1" t="inlineStr">
        <is>
          <t>T776 Summary</t>
        </is>
      </c>
    </row>
    <row r="2">
      <c r="A2" s="2" t="inlineStr">
        <is>
          <t>Tax year</t>
        </is>
      </c>
      <c r="B2" s="3" t="n">
        <v>2025</v>
      </c>
      <c r="C2" s="4" t="inlineStr">
        <is>
          <t>The single control for the whole workbook.</t>
        </is>
      </c>
    </row>
    <row r="3"/>
    <row r="4" ht="36" customHeight="1">
      <c r="A4" s="5" t="inlineStr">
        <is>
          <t>Line</t>
        </is>
      </c>
      <c r="B4" s="5" t="inlineStr">
        <is>
          <t>Description</t>
        </is>
      </c>
      <c r="C4" s="6">
        <f>IF($B$31="",$A$31,$B$31)</f>
        <v/>
      </c>
      <c r="D4" s="6">
        <f>IF($B$32="",$A$32,$B$32)</f>
        <v/>
      </c>
      <c r="E4" s="6">
        <f>IF($B$33="",$A$33,$B$33)</f>
        <v/>
      </c>
      <c r="F4" s="6">
        <f>IF($B$34="",$A$34,$B$34)</f>
        <v/>
      </c>
      <c r="G4" s="6">
        <f>IF($B$35="",$A$35,$B$35)</f>
        <v/>
      </c>
      <c r="H4" s="6">
        <f>IF($B$36="",$A$36,$B$36)</f>
        <v/>
      </c>
      <c r="I4" s="6">
        <f>IF($B$37="",$A$37,$B$37)</f>
        <v/>
      </c>
      <c r="J4" s="6">
        <f>IF($B$38="",$A$38,$B$38)</f>
        <v/>
      </c>
      <c r="K4" s="6">
        <f>IF($B$39="",$A$39,$B$39)</f>
        <v/>
      </c>
      <c r="L4" s="6">
        <f>IF($B$40="",$A$40,$B$40)</f>
        <v/>
      </c>
      <c r="M4" s="5" t="inlineStr">
        <is>
          <t>Total</t>
        </is>
      </c>
      <c r="N4" s="5" t="inlineStr">
        <is>
          <t>Personal portion (9949)</t>
        </is>
      </c>
      <c r="O4" s="7">
        <f>$A$31</f>
        <v/>
      </c>
      <c r="P4" s="7">
        <f>$A$32</f>
        <v/>
      </c>
      <c r="Q4" s="7">
        <f>$A$33</f>
        <v/>
      </c>
      <c r="R4" s="7">
        <f>$A$34</f>
        <v/>
      </c>
      <c r="S4" s="7">
        <f>$A$35</f>
        <v/>
      </c>
      <c r="T4" s="7">
        <f>$A$36</f>
        <v/>
      </c>
      <c r="U4" s="7">
        <f>$A$37</f>
        <v/>
      </c>
      <c r="V4" s="7">
        <f>$A$38</f>
        <v/>
      </c>
      <c r="W4" s="7">
        <f>$A$39</f>
        <v/>
      </c>
      <c r="X4" s="7">
        <f>$A$40</f>
        <v/>
      </c>
    </row>
    <row r="5">
      <c r="A5" s="8" t="inlineStr">
        <is>
          <t>8141</t>
        </is>
      </c>
      <c r="B5" s="8" t="inlineStr">
        <is>
          <t>Gross rents</t>
        </is>
      </c>
      <c r="C5" s="9">
        <f>SUMIFS($G$44:$G$51,$B$44:$B$51,$A$31,$A$44:$A$51,"&gt;="&amp;DATE($B$2,1,1),$A$44:$A$51,"&lt;="&amp;DATE($B$2,12,31))</f>
        <v/>
      </c>
      <c r="D5" s="9">
        <f>SUMIFS($G$44:$G$51,$B$44:$B$51,$A$32,$A$44:$A$51,"&gt;="&amp;DATE($B$2,1,1),$A$44:$A$51,"&lt;="&amp;DATE($B$2,12,31))</f>
        <v/>
      </c>
      <c r="E5" s="9">
        <f>SUMIFS($G$44:$G$51,$B$44:$B$51,$A$33,$A$44:$A$51,"&gt;="&amp;DATE($B$2,1,1),$A$44:$A$51,"&lt;="&amp;DATE($B$2,12,31))</f>
        <v/>
      </c>
      <c r="F5" s="9">
        <f>SUMIFS($G$44:$G$51,$B$44:$B$51,$A$34,$A$44:$A$51,"&gt;="&amp;DATE($B$2,1,1),$A$44:$A$51,"&lt;="&amp;DATE($B$2,12,31))</f>
        <v/>
      </c>
      <c r="G5" s="9">
        <f>SUMIFS($G$44:$G$51,$B$44:$B$51,$A$35,$A$44:$A$51,"&gt;="&amp;DATE($B$2,1,1),$A$44:$A$51,"&lt;="&amp;DATE($B$2,12,31))</f>
        <v/>
      </c>
      <c r="H5" s="9">
        <f>SUMIFS($G$44:$G$51,$B$44:$B$51,$A$36,$A$44:$A$51,"&gt;="&amp;DATE($B$2,1,1),$A$44:$A$51,"&lt;="&amp;DATE($B$2,12,31))</f>
        <v/>
      </c>
      <c r="I5" s="9">
        <f>SUMIFS($G$44:$G$51,$B$44:$B$51,$A$37,$A$44:$A$51,"&gt;="&amp;DATE($B$2,1,1),$A$44:$A$51,"&lt;="&amp;DATE($B$2,12,31))</f>
        <v/>
      </c>
      <c r="J5" s="9">
        <f>SUMIFS($G$44:$G$51,$B$44:$B$51,$A$38,$A$44:$A$51,"&gt;="&amp;DATE($B$2,1,1),$A$44:$A$51,"&lt;="&amp;DATE($B$2,12,31))</f>
        <v/>
      </c>
      <c r="K5" s="9">
        <f>SUMIFS($G$44:$G$51,$B$44:$B$51,$A$39,$A$44:$A$51,"&gt;="&amp;DATE($B$2,1,1),$A$44:$A$51,"&lt;="&amp;DATE($B$2,12,31))</f>
        <v/>
      </c>
      <c r="L5" s="9">
        <f>SUMIFS($G$44:$G$51,$B$44:$B$51,$A$40,$A$44:$A$51,"&gt;="&amp;DATE($B$2,1,1),$A$44:$A$51,"&lt;="&amp;DATE($B$2,12,31))</f>
        <v/>
      </c>
      <c r="M5" s="10">
        <f>SUM(C5:L5)</f>
        <v/>
      </c>
      <c r="N5" s="11" t="n"/>
    </row>
    <row r="6">
      <c r="A6" s="8" t="inlineStr">
        <is>
          <t>8521</t>
        </is>
      </c>
      <c r="B6" s="12" t="inlineStr">
        <is>
          <t>Advertising</t>
        </is>
      </c>
      <c r="C6" s="9">
        <f>SUMPRODUCT((LEFT($C$55:$C$62,4)=$A6)*($B$55:$B$62=$A$31)*($I$55:$I$62&lt;&gt;"Capital")*($A$55:$A$62&gt;=DATE($B$2,1,1))*($A$55:$A$62&lt;=DATE($B$2,12,31))*$F$55:$F$62*$K$55:$K$62)</f>
        <v/>
      </c>
      <c r="D6" s="9">
        <f>SUMPRODUCT((LEFT($C$55:$C$62,4)=$A6)*($B$55:$B$62=$A$32)*($I$55:$I$62&lt;&gt;"Capital")*($A$55:$A$62&gt;=DATE($B$2,1,1))*($A$55:$A$62&lt;=DATE($B$2,12,31))*$F$55:$F$62*$K$55:$K$62)</f>
        <v/>
      </c>
      <c r="E6" s="9">
        <f>SUMPRODUCT((LEFT($C$55:$C$62,4)=$A6)*($B$55:$B$62=$A$33)*($I$55:$I$62&lt;&gt;"Capital")*($A$55:$A$62&gt;=DATE($B$2,1,1))*($A$55:$A$62&lt;=DATE($B$2,12,31))*$F$55:$F$62*$K$55:$K$62)</f>
        <v/>
      </c>
      <c r="F6" s="9">
        <f>SUMPRODUCT((LEFT($C$55:$C$62,4)=$A6)*($B$55:$B$62=$A$34)*($I$55:$I$62&lt;&gt;"Capital")*($A$55:$A$62&gt;=DATE($B$2,1,1))*($A$55:$A$62&lt;=DATE($B$2,12,31))*$F$55:$F$62*$K$55:$K$62)</f>
        <v/>
      </c>
      <c r="G6" s="9">
        <f>SUMPRODUCT((LEFT($C$55:$C$62,4)=$A6)*($B$55:$B$62=$A$35)*($I$55:$I$62&lt;&gt;"Capital")*($A$55:$A$62&gt;=DATE($B$2,1,1))*($A$55:$A$62&lt;=DATE($B$2,12,31))*$F$55:$F$62*$K$55:$K$62)</f>
        <v/>
      </c>
      <c r="H6" s="9">
        <f>SUMPRODUCT((LEFT($C$55:$C$62,4)=$A6)*($B$55:$B$62=$A$36)*($I$55:$I$62&lt;&gt;"Capital")*($A$55:$A$62&gt;=DATE($B$2,1,1))*($A$55:$A$62&lt;=DATE($B$2,12,31))*$F$55:$F$62*$K$55:$K$62)</f>
        <v/>
      </c>
      <c r="I6" s="9">
        <f>SUMPRODUCT((LEFT($C$55:$C$62,4)=$A6)*($B$55:$B$62=$A$37)*($I$55:$I$62&lt;&gt;"Capital")*($A$55:$A$62&gt;=DATE($B$2,1,1))*($A$55:$A$62&lt;=DATE($B$2,12,31))*$F$55:$F$62*$K$55:$K$62)</f>
        <v/>
      </c>
      <c r="J6" s="9">
        <f>SUMPRODUCT((LEFT($C$55:$C$62,4)=$A6)*($B$55:$B$62=$A$38)*($I$55:$I$62&lt;&gt;"Capital")*($A$55:$A$62&gt;=DATE($B$2,1,1))*($A$55:$A$62&lt;=DATE($B$2,12,31))*$F$55:$F$62*$K$55:$K$62)</f>
        <v/>
      </c>
      <c r="K6" s="9">
        <f>SUMPRODUCT((LEFT($C$55:$C$62,4)=$A6)*($B$55:$B$62=$A$39)*($I$55:$I$62&lt;&gt;"Capital")*($A$55:$A$62&gt;=DATE($B$2,1,1))*($A$55:$A$62&lt;=DATE($B$2,12,31))*$F$55:$F$62*$K$55:$K$62)</f>
        <v/>
      </c>
      <c r="L6" s="9">
        <f>SUMPRODUCT((LEFT($C$55:$C$62,4)=$A6)*($B$55:$B$62=$A$40)*($I$55:$I$62&lt;&gt;"Capital")*($A$55:$A$62&gt;=DATE($B$2,1,1))*($A$55:$A$62&lt;=DATE($B$2,12,31))*$F$55:$F$62*$K$55:$K$62)</f>
        <v/>
      </c>
      <c r="M6" s="10">
        <f>SUM(C6:L6)</f>
        <v/>
      </c>
      <c r="N6" s="9">
        <f>SUM(O6:X6)-M6</f>
        <v/>
      </c>
      <c r="O6" s="13">
        <f>SUMPRODUCT((LEFT($C$55:$C$62,4)=$A6)*($B$55:$B$62=$A$31)*($I$55:$I$62&lt;&gt;"Capital")*($A$55:$A$62&gt;=DATE($B$2,1,1))*($A$55:$A$62&lt;=DATE($B$2,12,31))*$F$55:$F$62)</f>
        <v/>
      </c>
      <c r="P6" s="13">
        <f>SUMPRODUCT((LEFT($C$55:$C$62,4)=$A6)*($B$55:$B$62=$A$32)*($I$55:$I$62&lt;&gt;"Capital")*($A$55:$A$62&gt;=DATE($B$2,1,1))*($A$55:$A$62&lt;=DATE($B$2,12,31))*$F$55:$F$62)</f>
        <v/>
      </c>
      <c r="Q6" s="13">
        <f>SUMPRODUCT((LEFT($C$55:$C$62,4)=$A6)*($B$55:$B$62=$A$33)*($I$55:$I$62&lt;&gt;"Capital")*($A$55:$A$62&gt;=DATE($B$2,1,1))*($A$55:$A$62&lt;=DATE($B$2,12,31))*$F$55:$F$62)</f>
        <v/>
      </c>
      <c r="R6" s="13">
        <f>SUMPRODUCT((LEFT($C$55:$C$62,4)=$A6)*($B$55:$B$62=$A$34)*($I$55:$I$62&lt;&gt;"Capital")*($A$55:$A$62&gt;=DATE($B$2,1,1))*($A$55:$A$62&lt;=DATE($B$2,12,31))*$F$55:$F$62)</f>
        <v/>
      </c>
      <c r="S6" s="13">
        <f>SUMPRODUCT((LEFT($C$55:$C$62,4)=$A6)*($B$55:$B$62=$A$35)*($I$55:$I$62&lt;&gt;"Capital")*($A$55:$A$62&gt;=DATE($B$2,1,1))*($A$55:$A$62&lt;=DATE($B$2,12,31))*$F$55:$F$62)</f>
        <v/>
      </c>
      <c r="T6" s="13">
        <f>SUMPRODUCT((LEFT($C$55:$C$62,4)=$A6)*($B$55:$B$62=$A$36)*($I$55:$I$62&lt;&gt;"Capital")*($A$55:$A$62&gt;=DATE($B$2,1,1))*($A$55:$A$62&lt;=DATE($B$2,12,31))*$F$55:$F$62)</f>
        <v/>
      </c>
      <c r="U6" s="13">
        <f>SUMPRODUCT((LEFT($C$55:$C$62,4)=$A6)*($B$55:$B$62=$A$37)*($I$55:$I$62&lt;&gt;"Capital")*($A$55:$A$62&gt;=DATE($B$2,1,1))*($A$55:$A$62&lt;=DATE($B$2,12,31))*$F$55:$F$62)</f>
        <v/>
      </c>
      <c r="V6" s="13">
        <f>SUMPRODUCT((LEFT($C$55:$C$62,4)=$A6)*($B$55:$B$62=$A$38)*($I$55:$I$62&lt;&gt;"Capital")*($A$55:$A$62&gt;=DATE($B$2,1,1))*($A$55:$A$62&lt;=DATE($B$2,12,31))*$F$55:$F$62)</f>
        <v/>
      </c>
      <c r="W6" s="13">
        <f>SUMPRODUCT((LEFT($C$55:$C$62,4)=$A6)*($B$55:$B$62=$A$39)*($I$55:$I$62&lt;&gt;"Capital")*($A$55:$A$62&gt;=DATE($B$2,1,1))*($A$55:$A$62&lt;=DATE($B$2,12,31))*$F$55:$F$62)</f>
        <v/>
      </c>
      <c r="X6" s="13">
        <f>SUMPRODUCT((LEFT($C$55:$C$62,4)=$A6)*($B$55:$B$62=$A$40)*($I$55:$I$62&lt;&gt;"Capital")*($A$55:$A$62&gt;=DATE($B$2,1,1))*($A$55:$A$62&lt;=DATE($B$2,12,31))*$F$55:$F$62)</f>
        <v/>
      </c>
    </row>
    <row r="7">
      <c r="A7" s="8" t="inlineStr">
        <is>
          <t>8690</t>
        </is>
      </c>
      <c r="B7" s="12" t="inlineStr">
        <is>
          <t>Insurance</t>
        </is>
      </c>
      <c r="C7" s="9">
        <f>SUMPRODUCT((LEFT($C$55:$C$62,4)=$A7)*($B$55:$B$62=$A$31)*($I$55:$I$62&lt;&gt;"Capital")*($A$55:$A$62&gt;=DATE($B$2,1,1))*($A$55:$A$62&lt;=DATE($B$2,12,31))*$F$55:$F$62*$K$55:$K$62)</f>
        <v/>
      </c>
      <c r="D7" s="9">
        <f>SUMPRODUCT((LEFT($C$55:$C$62,4)=$A7)*($B$55:$B$62=$A$32)*($I$55:$I$62&lt;&gt;"Capital")*($A$55:$A$62&gt;=DATE($B$2,1,1))*($A$55:$A$62&lt;=DATE($B$2,12,31))*$F$55:$F$62*$K$55:$K$62)</f>
        <v/>
      </c>
      <c r="E7" s="9">
        <f>SUMPRODUCT((LEFT($C$55:$C$62,4)=$A7)*($B$55:$B$62=$A$33)*($I$55:$I$62&lt;&gt;"Capital")*($A$55:$A$62&gt;=DATE($B$2,1,1))*($A$55:$A$62&lt;=DATE($B$2,12,31))*$F$55:$F$62*$K$55:$K$62)</f>
        <v/>
      </c>
      <c r="F7" s="9">
        <f>SUMPRODUCT((LEFT($C$55:$C$62,4)=$A7)*($B$55:$B$62=$A$34)*($I$55:$I$62&lt;&gt;"Capital")*($A$55:$A$62&gt;=DATE($B$2,1,1))*($A$55:$A$62&lt;=DATE($B$2,12,31))*$F$55:$F$62*$K$55:$K$62)</f>
        <v/>
      </c>
      <c r="G7" s="9">
        <f>SUMPRODUCT((LEFT($C$55:$C$62,4)=$A7)*($B$55:$B$62=$A$35)*($I$55:$I$62&lt;&gt;"Capital")*($A$55:$A$62&gt;=DATE($B$2,1,1))*($A$55:$A$62&lt;=DATE($B$2,12,31))*$F$55:$F$62*$K$55:$K$62)</f>
        <v/>
      </c>
      <c r="H7" s="9">
        <f>SUMPRODUCT((LEFT($C$55:$C$62,4)=$A7)*($B$55:$B$62=$A$36)*($I$55:$I$62&lt;&gt;"Capital")*($A$55:$A$62&gt;=DATE($B$2,1,1))*($A$55:$A$62&lt;=DATE($B$2,12,31))*$F$55:$F$62*$K$55:$K$62)</f>
        <v/>
      </c>
      <c r="I7" s="9">
        <f>SUMPRODUCT((LEFT($C$55:$C$62,4)=$A7)*($B$55:$B$62=$A$37)*($I$55:$I$62&lt;&gt;"Capital")*($A$55:$A$62&gt;=DATE($B$2,1,1))*($A$55:$A$62&lt;=DATE($B$2,12,31))*$F$55:$F$62*$K$55:$K$62)</f>
        <v/>
      </c>
      <c r="J7" s="9">
        <f>SUMPRODUCT((LEFT($C$55:$C$62,4)=$A7)*($B$55:$B$62=$A$38)*($I$55:$I$62&lt;&gt;"Capital")*($A$55:$A$62&gt;=DATE($B$2,1,1))*($A$55:$A$62&lt;=DATE($B$2,12,31))*$F$55:$F$62*$K$55:$K$62)</f>
        <v/>
      </c>
      <c r="K7" s="9">
        <f>SUMPRODUCT((LEFT($C$55:$C$62,4)=$A7)*($B$55:$B$62=$A$39)*($I$55:$I$62&lt;&gt;"Capital")*($A$55:$A$62&gt;=DATE($B$2,1,1))*($A$55:$A$62&lt;=DATE($B$2,12,31))*$F$55:$F$62*$K$55:$K$62)</f>
        <v/>
      </c>
      <c r="L7" s="9">
        <f>SUMPRODUCT((LEFT($C$55:$C$62,4)=$A7)*($B$55:$B$62=$A$40)*($I$55:$I$62&lt;&gt;"Capital")*($A$55:$A$62&gt;=DATE($B$2,1,1))*($A$55:$A$62&lt;=DATE($B$2,12,31))*$F$55:$F$62*$K$55:$K$62)</f>
        <v/>
      </c>
      <c r="M7" s="10">
        <f>SUM(C7:L7)</f>
        <v/>
      </c>
      <c r="N7" s="9">
        <f>SUM(O7:X7)-M7</f>
        <v/>
      </c>
      <c r="O7" s="13">
        <f>SUMPRODUCT((LEFT($C$55:$C$62,4)=$A7)*($B$55:$B$62=$A$31)*($I$55:$I$62&lt;&gt;"Capital")*($A$55:$A$62&gt;=DATE($B$2,1,1))*($A$55:$A$62&lt;=DATE($B$2,12,31))*$F$55:$F$62)</f>
        <v/>
      </c>
      <c r="P7" s="13">
        <f>SUMPRODUCT((LEFT($C$55:$C$62,4)=$A7)*($B$55:$B$62=$A$32)*($I$55:$I$62&lt;&gt;"Capital")*($A$55:$A$62&gt;=DATE($B$2,1,1))*($A$55:$A$62&lt;=DATE($B$2,12,31))*$F$55:$F$62)</f>
        <v/>
      </c>
      <c r="Q7" s="13">
        <f>SUMPRODUCT((LEFT($C$55:$C$62,4)=$A7)*($B$55:$B$62=$A$33)*($I$55:$I$62&lt;&gt;"Capital")*($A$55:$A$62&gt;=DATE($B$2,1,1))*($A$55:$A$62&lt;=DATE($B$2,12,31))*$F$55:$F$62)</f>
        <v/>
      </c>
      <c r="R7" s="13">
        <f>SUMPRODUCT((LEFT($C$55:$C$62,4)=$A7)*($B$55:$B$62=$A$34)*($I$55:$I$62&lt;&gt;"Capital")*($A$55:$A$62&gt;=DATE($B$2,1,1))*($A$55:$A$62&lt;=DATE($B$2,12,31))*$F$55:$F$62)</f>
        <v/>
      </c>
      <c r="S7" s="13">
        <f>SUMPRODUCT((LEFT($C$55:$C$62,4)=$A7)*($B$55:$B$62=$A$35)*($I$55:$I$62&lt;&gt;"Capital")*($A$55:$A$62&gt;=DATE($B$2,1,1))*($A$55:$A$62&lt;=DATE($B$2,12,31))*$F$55:$F$62)</f>
        <v/>
      </c>
      <c r="T7" s="13">
        <f>SUMPRODUCT((LEFT($C$55:$C$62,4)=$A7)*($B$55:$B$62=$A$36)*($I$55:$I$62&lt;&gt;"Capital")*($A$55:$A$62&gt;=DATE($B$2,1,1))*($A$55:$A$62&lt;=DATE($B$2,12,31))*$F$55:$F$62)</f>
        <v/>
      </c>
      <c r="U7" s="13">
        <f>SUMPRODUCT((LEFT($C$55:$C$62,4)=$A7)*($B$55:$B$62=$A$37)*($I$55:$I$62&lt;&gt;"Capital")*($A$55:$A$62&gt;=DATE($B$2,1,1))*($A$55:$A$62&lt;=DATE($B$2,12,31))*$F$55:$F$62)</f>
        <v/>
      </c>
      <c r="V7" s="13">
        <f>SUMPRODUCT((LEFT($C$55:$C$62,4)=$A7)*($B$55:$B$62=$A$38)*($I$55:$I$62&lt;&gt;"Capital")*($A$55:$A$62&gt;=DATE($B$2,1,1))*($A$55:$A$62&lt;=DATE($B$2,12,31))*$F$55:$F$62)</f>
        <v/>
      </c>
      <c r="W7" s="13">
        <f>SUMPRODUCT((LEFT($C$55:$C$62,4)=$A7)*($B$55:$B$62=$A$39)*($I$55:$I$62&lt;&gt;"Capital")*($A$55:$A$62&gt;=DATE($B$2,1,1))*($A$55:$A$62&lt;=DATE($B$2,12,31))*$F$55:$F$62)</f>
        <v/>
      </c>
      <c r="X7" s="13">
        <f>SUMPRODUCT((LEFT($C$55:$C$62,4)=$A7)*($B$55:$B$62=$A$40)*($I$55:$I$62&lt;&gt;"Capital")*($A$55:$A$62&gt;=DATE($B$2,1,1))*($A$55:$A$62&lt;=DATE($B$2,12,31))*$F$55:$F$62)</f>
        <v/>
      </c>
    </row>
    <row r="8">
      <c r="A8" s="8" t="inlineStr">
        <is>
          <t>8710</t>
        </is>
      </c>
      <c r="B8" s="12" t="inlineStr">
        <is>
          <t>Interest and bank charges</t>
        </is>
      </c>
      <c r="C8" s="9">
        <f>SUMPRODUCT((LEFT($C$55:$C$62,4)=$A8)*($B$55:$B$62=$A$31)*($I$55:$I$62&lt;&gt;"Capital")*($A$55:$A$62&gt;=DATE($B$2,1,1))*($A$55:$A$62&lt;=DATE($B$2,12,31))*$F$55:$F$62*$K$55:$K$62)</f>
        <v/>
      </c>
      <c r="D8" s="9">
        <f>SUMPRODUCT((LEFT($C$55:$C$62,4)=$A8)*($B$55:$B$62=$A$32)*($I$55:$I$62&lt;&gt;"Capital")*($A$55:$A$62&gt;=DATE($B$2,1,1))*($A$55:$A$62&lt;=DATE($B$2,12,31))*$F$55:$F$62*$K$55:$K$62)</f>
        <v/>
      </c>
      <c r="E8" s="9">
        <f>SUMPRODUCT((LEFT($C$55:$C$62,4)=$A8)*($B$55:$B$62=$A$33)*($I$55:$I$62&lt;&gt;"Capital")*($A$55:$A$62&gt;=DATE($B$2,1,1))*($A$55:$A$62&lt;=DATE($B$2,12,31))*$F$55:$F$62*$K$55:$K$62)</f>
        <v/>
      </c>
      <c r="F8" s="9">
        <f>SUMPRODUCT((LEFT($C$55:$C$62,4)=$A8)*($B$55:$B$62=$A$34)*($I$55:$I$62&lt;&gt;"Capital")*($A$55:$A$62&gt;=DATE($B$2,1,1))*($A$55:$A$62&lt;=DATE($B$2,12,31))*$F$55:$F$62*$K$55:$K$62)</f>
        <v/>
      </c>
      <c r="G8" s="9">
        <f>SUMPRODUCT((LEFT($C$55:$C$62,4)=$A8)*($B$55:$B$62=$A$35)*($I$55:$I$62&lt;&gt;"Capital")*($A$55:$A$62&gt;=DATE($B$2,1,1))*($A$55:$A$62&lt;=DATE($B$2,12,31))*$F$55:$F$62*$K$55:$K$62)</f>
        <v/>
      </c>
      <c r="H8" s="9">
        <f>SUMPRODUCT((LEFT($C$55:$C$62,4)=$A8)*($B$55:$B$62=$A$36)*($I$55:$I$62&lt;&gt;"Capital")*($A$55:$A$62&gt;=DATE($B$2,1,1))*($A$55:$A$62&lt;=DATE($B$2,12,31))*$F$55:$F$62*$K$55:$K$62)</f>
        <v/>
      </c>
      <c r="I8" s="9">
        <f>SUMPRODUCT((LEFT($C$55:$C$62,4)=$A8)*($B$55:$B$62=$A$37)*($I$55:$I$62&lt;&gt;"Capital")*($A$55:$A$62&gt;=DATE($B$2,1,1))*($A$55:$A$62&lt;=DATE($B$2,12,31))*$F$55:$F$62*$K$55:$K$62)</f>
        <v/>
      </c>
      <c r="J8" s="9">
        <f>SUMPRODUCT((LEFT($C$55:$C$62,4)=$A8)*($B$55:$B$62=$A$38)*($I$55:$I$62&lt;&gt;"Capital")*($A$55:$A$62&gt;=DATE($B$2,1,1))*($A$55:$A$62&lt;=DATE($B$2,12,31))*$F$55:$F$62*$K$55:$K$62)</f>
        <v/>
      </c>
      <c r="K8" s="9">
        <f>SUMPRODUCT((LEFT($C$55:$C$62,4)=$A8)*($B$55:$B$62=$A$39)*($I$55:$I$62&lt;&gt;"Capital")*($A$55:$A$62&gt;=DATE($B$2,1,1))*($A$55:$A$62&lt;=DATE($B$2,12,31))*$F$55:$F$62*$K$55:$K$62)</f>
        <v/>
      </c>
      <c r="L8" s="9">
        <f>SUMPRODUCT((LEFT($C$55:$C$62,4)=$A8)*($B$55:$B$62=$A$40)*($I$55:$I$62&lt;&gt;"Capital")*($A$55:$A$62&gt;=DATE($B$2,1,1))*($A$55:$A$62&lt;=DATE($B$2,12,31))*$F$55:$F$62*$K$55:$K$62)</f>
        <v/>
      </c>
      <c r="M8" s="10">
        <f>SUM(C8:L8)</f>
        <v/>
      </c>
      <c r="N8" s="9">
        <f>SUM(O8:X8)-M8</f>
        <v/>
      </c>
      <c r="O8" s="13">
        <f>SUMPRODUCT((LEFT($C$55:$C$62,4)=$A8)*($B$55:$B$62=$A$31)*($I$55:$I$62&lt;&gt;"Capital")*($A$55:$A$62&gt;=DATE($B$2,1,1))*($A$55:$A$62&lt;=DATE($B$2,12,31))*$F$55:$F$62)</f>
        <v/>
      </c>
      <c r="P8" s="13">
        <f>SUMPRODUCT((LEFT($C$55:$C$62,4)=$A8)*($B$55:$B$62=$A$32)*($I$55:$I$62&lt;&gt;"Capital")*($A$55:$A$62&gt;=DATE($B$2,1,1))*($A$55:$A$62&lt;=DATE($B$2,12,31))*$F$55:$F$62)</f>
        <v/>
      </c>
      <c r="Q8" s="13">
        <f>SUMPRODUCT((LEFT($C$55:$C$62,4)=$A8)*($B$55:$B$62=$A$33)*($I$55:$I$62&lt;&gt;"Capital")*($A$55:$A$62&gt;=DATE($B$2,1,1))*($A$55:$A$62&lt;=DATE($B$2,12,31))*$F$55:$F$62)</f>
        <v/>
      </c>
      <c r="R8" s="13">
        <f>SUMPRODUCT((LEFT($C$55:$C$62,4)=$A8)*($B$55:$B$62=$A$34)*($I$55:$I$62&lt;&gt;"Capital")*($A$55:$A$62&gt;=DATE($B$2,1,1))*($A$55:$A$62&lt;=DATE($B$2,12,31))*$F$55:$F$62)</f>
        <v/>
      </c>
      <c r="S8" s="13">
        <f>SUMPRODUCT((LEFT($C$55:$C$62,4)=$A8)*($B$55:$B$62=$A$35)*($I$55:$I$62&lt;&gt;"Capital")*($A$55:$A$62&gt;=DATE($B$2,1,1))*($A$55:$A$62&lt;=DATE($B$2,12,31))*$F$55:$F$62)</f>
        <v/>
      </c>
      <c r="T8" s="13">
        <f>SUMPRODUCT((LEFT($C$55:$C$62,4)=$A8)*($B$55:$B$62=$A$36)*($I$55:$I$62&lt;&gt;"Capital")*($A$55:$A$62&gt;=DATE($B$2,1,1))*($A$55:$A$62&lt;=DATE($B$2,12,31))*$F$55:$F$62)</f>
        <v/>
      </c>
      <c r="U8" s="13">
        <f>SUMPRODUCT((LEFT($C$55:$C$62,4)=$A8)*($B$55:$B$62=$A$37)*($I$55:$I$62&lt;&gt;"Capital")*($A$55:$A$62&gt;=DATE($B$2,1,1))*($A$55:$A$62&lt;=DATE($B$2,12,31))*$F$55:$F$62)</f>
        <v/>
      </c>
      <c r="V8" s="13">
        <f>SUMPRODUCT((LEFT($C$55:$C$62,4)=$A8)*($B$55:$B$62=$A$38)*($I$55:$I$62&lt;&gt;"Capital")*($A$55:$A$62&gt;=DATE($B$2,1,1))*($A$55:$A$62&lt;=DATE($B$2,12,31))*$F$55:$F$62)</f>
        <v/>
      </c>
      <c r="W8" s="13">
        <f>SUMPRODUCT((LEFT($C$55:$C$62,4)=$A8)*($B$55:$B$62=$A$39)*($I$55:$I$62&lt;&gt;"Capital")*($A$55:$A$62&gt;=DATE($B$2,1,1))*($A$55:$A$62&lt;=DATE($B$2,12,31))*$F$55:$F$62)</f>
        <v/>
      </c>
      <c r="X8" s="13">
        <f>SUMPRODUCT((LEFT($C$55:$C$62,4)=$A8)*($B$55:$B$62=$A$40)*($I$55:$I$62&lt;&gt;"Capital")*($A$55:$A$62&gt;=DATE($B$2,1,1))*($A$55:$A$62&lt;=DATE($B$2,12,31))*$F$55:$F$62)</f>
        <v/>
      </c>
    </row>
    <row r="9">
      <c r="A9" s="8" t="inlineStr">
        <is>
          <t>8810</t>
        </is>
      </c>
      <c r="B9" s="12" t="inlineStr">
        <is>
          <t>Office expenses</t>
        </is>
      </c>
      <c r="C9" s="9">
        <f>SUMPRODUCT((LEFT($C$55:$C$62,4)=$A9)*($B$55:$B$62=$A$31)*($I$55:$I$62&lt;&gt;"Capital")*($A$55:$A$62&gt;=DATE($B$2,1,1))*($A$55:$A$62&lt;=DATE($B$2,12,31))*$F$55:$F$62*$K$55:$K$62)</f>
        <v/>
      </c>
      <c r="D9" s="9">
        <f>SUMPRODUCT((LEFT($C$55:$C$62,4)=$A9)*($B$55:$B$62=$A$32)*($I$55:$I$62&lt;&gt;"Capital")*($A$55:$A$62&gt;=DATE($B$2,1,1))*($A$55:$A$62&lt;=DATE($B$2,12,31))*$F$55:$F$62*$K$55:$K$62)</f>
        <v/>
      </c>
      <c r="E9" s="9">
        <f>SUMPRODUCT((LEFT($C$55:$C$62,4)=$A9)*($B$55:$B$62=$A$33)*($I$55:$I$62&lt;&gt;"Capital")*($A$55:$A$62&gt;=DATE($B$2,1,1))*($A$55:$A$62&lt;=DATE($B$2,12,31))*$F$55:$F$62*$K$55:$K$62)</f>
        <v/>
      </c>
      <c r="F9" s="9">
        <f>SUMPRODUCT((LEFT($C$55:$C$62,4)=$A9)*($B$55:$B$62=$A$34)*($I$55:$I$62&lt;&gt;"Capital")*($A$55:$A$62&gt;=DATE($B$2,1,1))*($A$55:$A$62&lt;=DATE($B$2,12,31))*$F$55:$F$62*$K$55:$K$62)</f>
        <v/>
      </c>
      <c r="G9" s="9">
        <f>SUMPRODUCT((LEFT($C$55:$C$62,4)=$A9)*($B$55:$B$62=$A$35)*($I$55:$I$62&lt;&gt;"Capital")*($A$55:$A$62&gt;=DATE($B$2,1,1))*($A$55:$A$62&lt;=DATE($B$2,12,31))*$F$55:$F$62*$K$55:$K$62)</f>
        <v/>
      </c>
      <c r="H9" s="9">
        <f>SUMPRODUCT((LEFT($C$55:$C$62,4)=$A9)*($B$55:$B$62=$A$36)*($I$55:$I$62&lt;&gt;"Capital")*($A$55:$A$62&gt;=DATE($B$2,1,1))*($A$55:$A$62&lt;=DATE($B$2,12,31))*$F$55:$F$62*$K$55:$K$62)</f>
        <v/>
      </c>
      <c r="I9" s="9">
        <f>SUMPRODUCT((LEFT($C$55:$C$62,4)=$A9)*($B$55:$B$62=$A$37)*($I$55:$I$62&lt;&gt;"Capital")*($A$55:$A$62&gt;=DATE($B$2,1,1))*($A$55:$A$62&lt;=DATE($B$2,12,31))*$F$55:$F$62*$K$55:$K$62)</f>
        <v/>
      </c>
      <c r="J9" s="9">
        <f>SUMPRODUCT((LEFT($C$55:$C$62,4)=$A9)*($B$55:$B$62=$A$38)*($I$55:$I$62&lt;&gt;"Capital")*($A$55:$A$62&gt;=DATE($B$2,1,1))*($A$55:$A$62&lt;=DATE($B$2,12,31))*$F$55:$F$62*$K$55:$K$62)</f>
        <v/>
      </c>
      <c r="K9" s="9">
        <f>SUMPRODUCT((LEFT($C$55:$C$62,4)=$A9)*($B$55:$B$62=$A$39)*($I$55:$I$62&lt;&gt;"Capital")*($A$55:$A$62&gt;=DATE($B$2,1,1))*($A$55:$A$62&lt;=DATE($B$2,12,31))*$F$55:$F$62*$K$55:$K$62)</f>
        <v/>
      </c>
      <c r="L9" s="9">
        <f>SUMPRODUCT((LEFT($C$55:$C$62,4)=$A9)*($B$55:$B$62=$A$40)*($I$55:$I$62&lt;&gt;"Capital")*($A$55:$A$62&gt;=DATE($B$2,1,1))*($A$55:$A$62&lt;=DATE($B$2,12,31))*$F$55:$F$62*$K$55:$K$62)</f>
        <v/>
      </c>
      <c r="M9" s="10">
        <f>SUM(C9:L9)</f>
        <v/>
      </c>
      <c r="N9" s="9">
        <f>SUM(O9:X9)-M9</f>
        <v/>
      </c>
      <c r="O9" s="13">
        <f>SUMPRODUCT((LEFT($C$55:$C$62,4)=$A9)*($B$55:$B$62=$A$31)*($I$55:$I$62&lt;&gt;"Capital")*($A$55:$A$62&gt;=DATE($B$2,1,1))*($A$55:$A$62&lt;=DATE($B$2,12,31))*$F$55:$F$62)</f>
        <v/>
      </c>
      <c r="P9" s="13">
        <f>SUMPRODUCT((LEFT($C$55:$C$62,4)=$A9)*($B$55:$B$62=$A$32)*($I$55:$I$62&lt;&gt;"Capital")*($A$55:$A$62&gt;=DATE($B$2,1,1))*($A$55:$A$62&lt;=DATE($B$2,12,31))*$F$55:$F$62)</f>
        <v/>
      </c>
      <c r="Q9" s="13">
        <f>SUMPRODUCT((LEFT($C$55:$C$62,4)=$A9)*($B$55:$B$62=$A$33)*($I$55:$I$62&lt;&gt;"Capital")*($A$55:$A$62&gt;=DATE($B$2,1,1))*($A$55:$A$62&lt;=DATE($B$2,12,31))*$F$55:$F$62)</f>
        <v/>
      </c>
      <c r="R9" s="13">
        <f>SUMPRODUCT((LEFT($C$55:$C$62,4)=$A9)*($B$55:$B$62=$A$34)*($I$55:$I$62&lt;&gt;"Capital")*($A$55:$A$62&gt;=DATE($B$2,1,1))*($A$55:$A$62&lt;=DATE($B$2,12,31))*$F$55:$F$62)</f>
        <v/>
      </c>
      <c r="S9" s="13">
        <f>SUMPRODUCT((LEFT($C$55:$C$62,4)=$A9)*($B$55:$B$62=$A$35)*($I$55:$I$62&lt;&gt;"Capital")*($A$55:$A$62&gt;=DATE($B$2,1,1))*($A$55:$A$62&lt;=DATE($B$2,12,31))*$F$55:$F$62)</f>
        <v/>
      </c>
      <c r="T9" s="13">
        <f>SUMPRODUCT((LEFT($C$55:$C$62,4)=$A9)*($B$55:$B$62=$A$36)*($I$55:$I$62&lt;&gt;"Capital")*($A$55:$A$62&gt;=DATE($B$2,1,1))*($A$55:$A$62&lt;=DATE($B$2,12,31))*$F$55:$F$62)</f>
        <v/>
      </c>
      <c r="U9" s="13">
        <f>SUMPRODUCT((LEFT($C$55:$C$62,4)=$A9)*($B$55:$B$62=$A$37)*($I$55:$I$62&lt;&gt;"Capital")*($A$55:$A$62&gt;=DATE($B$2,1,1))*($A$55:$A$62&lt;=DATE($B$2,12,31))*$F$55:$F$62)</f>
        <v/>
      </c>
      <c r="V9" s="13">
        <f>SUMPRODUCT((LEFT($C$55:$C$62,4)=$A9)*($B$55:$B$62=$A$38)*($I$55:$I$62&lt;&gt;"Capital")*($A$55:$A$62&gt;=DATE($B$2,1,1))*($A$55:$A$62&lt;=DATE($B$2,12,31))*$F$55:$F$62)</f>
        <v/>
      </c>
      <c r="W9" s="13">
        <f>SUMPRODUCT((LEFT($C$55:$C$62,4)=$A9)*($B$55:$B$62=$A$39)*($I$55:$I$62&lt;&gt;"Capital")*($A$55:$A$62&gt;=DATE($B$2,1,1))*($A$55:$A$62&lt;=DATE($B$2,12,31))*$F$55:$F$62)</f>
        <v/>
      </c>
      <c r="X9" s="13">
        <f>SUMPRODUCT((LEFT($C$55:$C$62,4)=$A9)*($B$55:$B$62=$A$40)*($I$55:$I$62&lt;&gt;"Capital")*($A$55:$A$62&gt;=DATE($B$2,1,1))*($A$55:$A$62&lt;=DATE($B$2,12,31))*$F$55:$F$62)</f>
        <v/>
      </c>
    </row>
    <row r="10">
      <c r="A10" s="8" t="inlineStr">
        <is>
          <t>8860</t>
        </is>
      </c>
      <c r="B10" s="12" t="inlineStr">
        <is>
          <t>Professional fees</t>
        </is>
      </c>
      <c r="C10" s="9">
        <f>SUMPRODUCT((LEFT($C$55:$C$62,4)=$A10)*($B$55:$B$62=$A$31)*($I$55:$I$62&lt;&gt;"Capital")*($A$55:$A$62&gt;=DATE($B$2,1,1))*($A$55:$A$62&lt;=DATE($B$2,12,31))*$F$55:$F$62*$K$55:$K$62)</f>
        <v/>
      </c>
      <c r="D10" s="9">
        <f>SUMPRODUCT((LEFT($C$55:$C$62,4)=$A10)*($B$55:$B$62=$A$32)*($I$55:$I$62&lt;&gt;"Capital")*($A$55:$A$62&gt;=DATE($B$2,1,1))*($A$55:$A$62&lt;=DATE($B$2,12,31))*$F$55:$F$62*$K$55:$K$62)</f>
        <v/>
      </c>
      <c r="E10" s="9">
        <f>SUMPRODUCT((LEFT($C$55:$C$62,4)=$A10)*($B$55:$B$62=$A$33)*($I$55:$I$62&lt;&gt;"Capital")*($A$55:$A$62&gt;=DATE($B$2,1,1))*($A$55:$A$62&lt;=DATE($B$2,12,31))*$F$55:$F$62*$K$55:$K$62)</f>
        <v/>
      </c>
      <c r="F10" s="9">
        <f>SUMPRODUCT((LEFT($C$55:$C$62,4)=$A10)*($B$55:$B$62=$A$34)*($I$55:$I$62&lt;&gt;"Capital")*($A$55:$A$62&gt;=DATE($B$2,1,1))*($A$55:$A$62&lt;=DATE($B$2,12,31))*$F$55:$F$62*$K$55:$K$62)</f>
        <v/>
      </c>
      <c r="G10" s="9">
        <f>SUMPRODUCT((LEFT($C$55:$C$62,4)=$A10)*($B$55:$B$62=$A$35)*($I$55:$I$62&lt;&gt;"Capital")*($A$55:$A$62&gt;=DATE($B$2,1,1))*($A$55:$A$62&lt;=DATE($B$2,12,31))*$F$55:$F$62*$K$55:$K$62)</f>
        <v/>
      </c>
      <c r="H10" s="9">
        <f>SUMPRODUCT((LEFT($C$55:$C$62,4)=$A10)*($B$55:$B$62=$A$36)*($I$55:$I$62&lt;&gt;"Capital")*($A$55:$A$62&gt;=DATE($B$2,1,1))*($A$55:$A$62&lt;=DATE($B$2,12,31))*$F$55:$F$62*$K$55:$K$62)</f>
        <v/>
      </c>
      <c r="I10" s="9">
        <f>SUMPRODUCT((LEFT($C$55:$C$62,4)=$A10)*($B$55:$B$62=$A$37)*($I$55:$I$62&lt;&gt;"Capital")*($A$55:$A$62&gt;=DATE($B$2,1,1))*($A$55:$A$62&lt;=DATE($B$2,12,31))*$F$55:$F$62*$K$55:$K$62)</f>
        <v/>
      </c>
      <c r="J10" s="9">
        <f>SUMPRODUCT((LEFT($C$55:$C$62,4)=$A10)*($B$55:$B$62=$A$38)*($I$55:$I$62&lt;&gt;"Capital")*($A$55:$A$62&gt;=DATE($B$2,1,1))*($A$55:$A$62&lt;=DATE($B$2,12,31))*$F$55:$F$62*$K$55:$K$62)</f>
        <v/>
      </c>
      <c r="K10" s="9">
        <f>SUMPRODUCT((LEFT($C$55:$C$62,4)=$A10)*($B$55:$B$62=$A$39)*($I$55:$I$62&lt;&gt;"Capital")*($A$55:$A$62&gt;=DATE($B$2,1,1))*($A$55:$A$62&lt;=DATE($B$2,12,31))*$F$55:$F$62*$K$55:$K$62)</f>
        <v/>
      </c>
      <c r="L10" s="9">
        <f>SUMPRODUCT((LEFT($C$55:$C$62,4)=$A10)*($B$55:$B$62=$A$40)*($I$55:$I$62&lt;&gt;"Capital")*($A$55:$A$62&gt;=DATE($B$2,1,1))*($A$55:$A$62&lt;=DATE($B$2,12,31))*$F$55:$F$62*$K$55:$K$62)</f>
        <v/>
      </c>
      <c r="M10" s="10">
        <f>SUM(C10:L10)</f>
        <v/>
      </c>
      <c r="N10" s="9">
        <f>SUM(O10:X10)-M10</f>
        <v/>
      </c>
      <c r="O10" s="13">
        <f>SUMPRODUCT((LEFT($C$55:$C$62,4)=$A10)*($B$55:$B$62=$A$31)*($I$55:$I$62&lt;&gt;"Capital")*($A$55:$A$62&gt;=DATE($B$2,1,1))*($A$55:$A$62&lt;=DATE($B$2,12,31))*$F$55:$F$62)</f>
        <v/>
      </c>
      <c r="P10" s="13">
        <f>SUMPRODUCT((LEFT($C$55:$C$62,4)=$A10)*($B$55:$B$62=$A$32)*($I$55:$I$62&lt;&gt;"Capital")*($A$55:$A$62&gt;=DATE($B$2,1,1))*($A$55:$A$62&lt;=DATE($B$2,12,31))*$F$55:$F$62)</f>
        <v/>
      </c>
      <c r="Q10" s="13">
        <f>SUMPRODUCT((LEFT($C$55:$C$62,4)=$A10)*($B$55:$B$62=$A$33)*($I$55:$I$62&lt;&gt;"Capital")*($A$55:$A$62&gt;=DATE($B$2,1,1))*($A$55:$A$62&lt;=DATE($B$2,12,31))*$F$55:$F$62)</f>
        <v/>
      </c>
      <c r="R10" s="13">
        <f>SUMPRODUCT((LEFT($C$55:$C$62,4)=$A10)*($B$55:$B$62=$A$34)*($I$55:$I$62&lt;&gt;"Capital")*($A$55:$A$62&gt;=DATE($B$2,1,1))*($A$55:$A$62&lt;=DATE($B$2,12,31))*$F$55:$F$62)</f>
        <v/>
      </c>
      <c r="S10" s="13">
        <f>SUMPRODUCT((LEFT($C$55:$C$62,4)=$A10)*($B$55:$B$62=$A$35)*($I$55:$I$62&lt;&gt;"Capital")*($A$55:$A$62&gt;=DATE($B$2,1,1))*($A$55:$A$62&lt;=DATE($B$2,12,31))*$F$55:$F$62)</f>
        <v/>
      </c>
      <c r="T10" s="13">
        <f>SUMPRODUCT((LEFT($C$55:$C$62,4)=$A10)*($B$55:$B$62=$A$36)*($I$55:$I$62&lt;&gt;"Capital")*($A$55:$A$62&gt;=DATE($B$2,1,1))*($A$55:$A$62&lt;=DATE($B$2,12,31))*$F$55:$F$62)</f>
        <v/>
      </c>
      <c r="U10" s="13">
        <f>SUMPRODUCT((LEFT($C$55:$C$62,4)=$A10)*($B$55:$B$62=$A$37)*($I$55:$I$62&lt;&gt;"Capital")*($A$55:$A$62&gt;=DATE($B$2,1,1))*($A$55:$A$62&lt;=DATE($B$2,12,31))*$F$55:$F$62)</f>
        <v/>
      </c>
      <c r="V10" s="13">
        <f>SUMPRODUCT((LEFT($C$55:$C$62,4)=$A10)*($B$55:$B$62=$A$38)*($I$55:$I$62&lt;&gt;"Capital")*($A$55:$A$62&gt;=DATE($B$2,1,1))*($A$55:$A$62&lt;=DATE($B$2,12,31))*$F$55:$F$62)</f>
        <v/>
      </c>
      <c r="W10" s="13">
        <f>SUMPRODUCT((LEFT($C$55:$C$62,4)=$A10)*($B$55:$B$62=$A$39)*($I$55:$I$62&lt;&gt;"Capital")*($A$55:$A$62&gt;=DATE($B$2,1,1))*($A$55:$A$62&lt;=DATE($B$2,12,31))*$F$55:$F$62)</f>
        <v/>
      </c>
      <c r="X10" s="13">
        <f>SUMPRODUCT((LEFT($C$55:$C$62,4)=$A10)*($B$55:$B$62=$A$40)*($I$55:$I$62&lt;&gt;"Capital")*($A$55:$A$62&gt;=DATE($B$2,1,1))*($A$55:$A$62&lt;=DATE($B$2,12,31))*$F$55:$F$62)</f>
        <v/>
      </c>
    </row>
    <row r="11">
      <c r="A11" s="8" t="inlineStr">
        <is>
          <t>8871</t>
        </is>
      </c>
      <c r="B11" s="12" t="inlineStr">
        <is>
          <t>Management and administration fees</t>
        </is>
      </c>
      <c r="C11" s="9">
        <f>SUMPRODUCT((LEFT($C$55:$C$62,4)=$A11)*($B$55:$B$62=$A$31)*($I$55:$I$62&lt;&gt;"Capital")*($A$55:$A$62&gt;=DATE($B$2,1,1))*($A$55:$A$62&lt;=DATE($B$2,12,31))*$F$55:$F$62*$K$55:$K$62)</f>
        <v/>
      </c>
      <c r="D11" s="9">
        <f>SUMPRODUCT((LEFT($C$55:$C$62,4)=$A11)*($B$55:$B$62=$A$32)*($I$55:$I$62&lt;&gt;"Capital")*($A$55:$A$62&gt;=DATE($B$2,1,1))*($A$55:$A$62&lt;=DATE($B$2,12,31))*$F$55:$F$62*$K$55:$K$62)</f>
        <v/>
      </c>
      <c r="E11" s="9">
        <f>SUMPRODUCT((LEFT($C$55:$C$62,4)=$A11)*($B$55:$B$62=$A$33)*($I$55:$I$62&lt;&gt;"Capital")*($A$55:$A$62&gt;=DATE($B$2,1,1))*($A$55:$A$62&lt;=DATE($B$2,12,31))*$F$55:$F$62*$K$55:$K$62)</f>
        <v/>
      </c>
      <c r="F11" s="9">
        <f>SUMPRODUCT((LEFT($C$55:$C$62,4)=$A11)*($B$55:$B$62=$A$34)*($I$55:$I$62&lt;&gt;"Capital")*($A$55:$A$62&gt;=DATE($B$2,1,1))*($A$55:$A$62&lt;=DATE($B$2,12,31))*$F$55:$F$62*$K$55:$K$62)</f>
        <v/>
      </c>
      <c r="G11" s="9">
        <f>SUMPRODUCT((LEFT($C$55:$C$62,4)=$A11)*($B$55:$B$62=$A$35)*($I$55:$I$62&lt;&gt;"Capital")*($A$55:$A$62&gt;=DATE($B$2,1,1))*($A$55:$A$62&lt;=DATE($B$2,12,31))*$F$55:$F$62*$K$55:$K$62)</f>
        <v/>
      </c>
      <c r="H11" s="9">
        <f>SUMPRODUCT((LEFT($C$55:$C$62,4)=$A11)*($B$55:$B$62=$A$36)*($I$55:$I$62&lt;&gt;"Capital")*($A$55:$A$62&gt;=DATE($B$2,1,1))*($A$55:$A$62&lt;=DATE($B$2,12,31))*$F$55:$F$62*$K$55:$K$62)</f>
        <v/>
      </c>
      <c r="I11" s="9">
        <f>SUMPRODUCT((LEFT($C$55:$C$62,4)=$A11)*($B$55:$B$62=$A$37)*($I$55:$I$62&lt;&gt;"Capital")*($A$55:$A$62&gt;=DATE($B$2,1,1))*($A$55:$A$62&lt;=DATE($B$2,12,31))*$F$55:$F$62*$K$55:$K$62)</f>
        <v/>
      </c>
      <c r="J11" s="9">
        <f>SUMPRODUCT((LEFT($C$55:$C$62,4)=$A11)*($B$55:$B$62=$A$38)*($I$55:$I$62&lt;&gt;"Capital")*($A$55:$A$62&gt;=DATE($B$2,1,1))*($A$55:$A$62&lt;=DATE($B$2,12,31))*$F$55:$F$62*$K$55:$K$62)</f>
        <v/>
      </c>
      <c r="K11" s="9">
        <f>SUMPRODUCT((LEFT($C$55:$C$62,4)=$A11)*($B$55:$B$62=$A$39)*($I$55:$I$62&lt;&gt;"Capital")*($A$55:$A$62&gt;=DATE($B$2,1,1))*($A$55:$A$62&lt;=DATE($B$2,12,31))*$F$55:$F$62*$K$55:$K$62)</f>
        <v/>
      </c>
      <c r="L11" s="9">
        <f>SUMPRODUCT((LEFT($C$55:$C$62,4)=$A11)*($B$55:$B$62=$A$40)*($I$55:$I$62&lt;&gt;"Capital")*($A$55:$A$62&gt;=DATE($B$2,1,1))*($A$55:$A$62&lt;=DATE($B$2,12,31))*$F$55:$F$62*$K$55:$K$62)</f>
        <v/>
      </c>
      <c r="M11" s="10">
        <f>SUM(C11:L11)</f>
        <v/>
      </c>
      <c r="N11" s="9">
        <f>SUM(O11:X11)-M11</f>
        <v/>
      </c>
      <c r="O11" s="13">
        <f>SUMPRODUCT((LEFT($C$55:$C$62,4)=$A11)*($B$55:$B$62=$A$31)*($I$55:$I$62&lt;&gt;"Capital")*($A$55:$A$62&gt;=DATE($B$2,1,1))*($A$55:$A$62&lt;=DATE($B$2,12,31))*$F$55:$F$62)</f>
        <v/>
      </c>
      <c r="P11" s="13">
        <f>SUMPRODUCT((LEFT($C$55:$C$62,4)=$A11)*($B$55:$B$62=$A$32)*($I$55:$I$62&lt;&gt;"Capital")*($A$55:$A$62&gt;=DATE($B$2,1,1))*($A$55:$A$62&lt;=DATE($B$2,12,31))*$F$55:$F$62)</f>
        <v/>
      </c>
      <c r="Q11" s="13">
        <f>SUMPRODUCT((LEFT($C$55:$C$62,4)=$A11)*($B$55:$B$62=$A$33)*($I$55:$I$62&lt;&gt;"Capital")*($A$55:$A$62&gt;=DATE($B$2,1,1))*($A$55:$A$62&lt;=DATE($B$2,12,31))*$F$55:$F$62)</f>
        <v/>
      </c>
      <c r="R11" s="13">
        <f>SUMPRODUCT((LEFT($C$55:$C$62,4)=$A11)*($B$55:$B$62=$A$34)*($I$55:$I$62&lt;&gt;"Capital")*($A$55:$A$62&gt;=DATE($B$2,1,1))*($A$55:$A$62&lt;=DATE($B$2,12,31))*$F$55:$F$62)</f>
        <v/>
      </c>
      <c r="S11" s="13">
        <f>SUMPRODUCT((LEFT($C$55:$C$62,4)=$A11)*($B$55:$B$62=$A$35)*($I$55:$I$62&lt;&gt;"Capital")*($A$55:$A$62&gt;=DATE($B$2,1,1))*($A$55:$A$62&lt;=DATE($B$2,12,31))*$F$55:$F$62)</f>
        <v/>
      </c>
      <c r="T11" s="13">
        <f>SUMPRODUCT((LEFT($C$55:$C$62,4)=$A11)*($B$55:$B$62=$A$36)*($I$55:$I$62&lt;&gt;"Capital")*($A$55:$A$62&gt;=DATE($B$2,1,1))*($A$55:$A$62&lt;=DATE($B$2,12,31))*$F$55:$F$62)</f>
        <v/>
      </c>
      <c r="U11" s="13">
        <f>SUMPRODUCT((LEFT($C$55:$C$62,4)=$A11)*($B$55:$B$62=$A$37)*($I$55:$I$62&lt;&gt;"Capital")*($A$55:$A$62&gt;=DATE($B$2,1,1))*($A$55:$A$62&lt;=DATE($B$2,12,31))*$F$55:$F$62)</f>
        <v/>
      </c>
      <c r="V11" s="13">
        <f>SUMPRODUCT((LEFT($C$55:$C$62,4)=$A11)*($B$55:$B$62=$A$38)*($I$55:$I$62&lt;&gt;"Capital")*($A$55:$A$62&gt;=DATE($B$2,1,1))*($A$55:$A$62&lt;=DATE($B$2,12,31))*$F$55:$F$62)</f>
        <v/>
      </c>
      <c r="W11" s="13">
        <f>SUMPRODUCT((LEFT($C$55:$C$62,4)=$A11)*($B$55:$B$62=$A$39)*($I$55:$I$62&lt;&gt;"Capital")*($A$55:$A$62&gt;=DATE($B$2,1,1))*($A$55:$A$62&lt;=DATE($B$2,12,31))*$F$55:$F$62)</f>
        <v/>
      </c>
      <c r="X11" s="13">
        <f>SUMPRODUCT((LEFT($C$55:$C$62,4)=$A11)*($B$55:$B$62=$A$40)*($I$55:$I$62&lt;&gt;"Capital")*($A$55:$A$62&gt;=DATE($B$2,1,1))*($A$55:$A$62&lt;=DATE($B$2,12,31))*$F$55:$F$62)</f>
        <v/>
      </c>
    </row>
    <row r="12">
      <c r="A12" s="8" t="inlineStr">
        <is>
          <t>8960</t>
        </is>
      </c>
      <c r="B12" s="12" t="inlineStr">
        <is>
          <t>Repairs and maintenance</t>
        </is>
      </c>
      <c r="C12" s="9">
        <f>SUMPRODUCT((LEFT($C$55:$C$62,4)=$A12)*($B$55:$B$62=$A$31)*($I$55:$I$62&lt;&gt;"Capital")*($A$55:$A$62&gt;=DATE($B$2,1,1))*($A$55:$A$62&lt;=DATE($B$2,12,31))*$F$55:$F$62*$K$55:$K$62)</f>
        <v/>
      </c>
      <c r="D12" s="9">
        <f>SUMPRODUCT((LEFT($C$55:$C$62,4)=$A12)*($B$55:$B$62=$A$32)*($I$55:$I$62&lt;&gt;"Capital")*($A$55:$A$62&gt;=DATE($B$2,1,1))*($A$55:$A$62&lt;=DATE($B$2,12,31))*$F$55:$F$62*$K$55:$K$62)</f>
        <v/>
      </c>
      <c r="E12" s="9">
        <f>SUMPRODUCT((LEFT($C$55:$C$62,4)=$A12)*($B$55:$B$62=$A$33)*($I$55:$I$62&lt;&gt;"Capital")*($A$55:$A$62&gt;=DATE($B$2,1,1))*($A$55:$A$62&lt;=DATE($B$2,12,31))*$F$55:$F$62*$K$55:$K$62)</f>
        <v/>
      </c>
      <c r="F12" s="9">
        <f>SUMPRODUCT((LEFT($C$55:$C$62,4)=$A12)*($B$55:$B$62=$A$34)*($I$55:$I$62&lt;&gt;"Capital")*($A$55:$A$62&gt;=DATE($B$2,1,1))*($A$55:$A$62&lt;=DATE($B$2,12,31))*$F$55:$F$62*$K$55:$K$62)</f>
        <v/>
      </c>
      <c r="G12" s="9">
        <f>SUMPRODUCT((LEFT($C$55:$C$62,4)=$A12)*($B$55:$B$62=$A$35)*($I$55:$I$62&lt;&gt;"Capital")*($A$55:$A$62&gt;=DATE($B$2,1,1))*($A$55:$A$62&lt;=DATE($B$2,12,31))*$F$55:$F$62*$K$55:$K$62)</f>
        <v/>
      </c>
      <c r="H12" s="9">
        <f>SUMPRODUCT((LEFT($C$55:$C$62,4)=$A12)*($B$55:$B$62=$A$36)*($I$55:$I$62&lt;&gt;"Capital")*($A$55:$A$62&gt;=DATE($B$2,1,1))*($A$55:$A$62&lt;=DATE($B$2,12,31))*$F$55:$F$62*$K$55:$K$62)</f>
        <v/>
      </c>
      <c r="I12" s="9">
        <f>SUMPRODUCT((LEFT($C$55:$C$62,4)=$A12)*($B$55:$B$62=$A$37)*($I$55:$I$62&lt;&gt;"Capital")*($A$55:$A$62&gt;=DATE($B$2,1,1))*($A$55:$A$62&lt;=DATE($B$2,12,31))*$F$55:$F$62*$K$55:$K$62)</f>
        <v/>
      </c>
      <c r="J12" s="9">
        <f>SUMPRODUCT((LEFT($C$55:$C$62,4)=$A12)*($B$55:$B$62=$A$38)*($I$55:$I$62&lt;&gt;"Capital")*($A$55:$A$62&gt;=DATE($B$2,1,1))*($A$55:$A$62&lt;=DATE($B$2,12,31))*$F$55:$F$62*$K$55:$K$62)</f>
        <v/>
      </c>
      <c r="K12" s="9">
        <f>SUMPRODUCT((LEFT($C$55:$C$62,4)=$A12)*($B$55:$B$62=$A$39)*($I$55:$I$62&lt;&gt;"Capital")*($A$55:$A$62&gt;=DATE($B$2,1,1))*($A$55:$A$62&lt;=DATE($B$2,12,31))*$F$55:$F$62*$K$55:$K$62)</f>
        <v/>
      </c>
      <c r="L12" s="9">
        <f>SUMPRODUCT((LEFT($C$55:$C$62,4)=$A12)*($B$55:$B$62=$A$40)*($I$55:$I$62&lt;&gt;"Capital")*($A$55:$A$62&gt;=DATE($B$2,1,1))*($A$55:$A$62&lt;=DATE($B$2,12,31))*$F$55:$F$62*$K$55:$K$62)</f>
        <v/>
      </c>
      <c r="M12" s="10">
        <f>SUM(C12:L12)</f>
        <v/>
      </c>
      <c r="N12" s="9">
        <f>SUM(O12:X12)-M12</f>
        <v/>
      </c>
      <c r="O12" s="13">
        <f>SUMPRODUCT((LEFT($C$55:$C$62,4)=$A12)*($B$55:$B$62=$A$31)*($I$55:$I$62&lt;&gt;"Capital")*($A$55:$A$62&gt;=DATE($B$2,1,1))*($A$55:$A$62&lt;=DATE($B$2,12,31))*$F$55:$F$62)</f>
        <v/>
      </c>
      <c r="P12" s="13">
        <f>SUMPRODUCT((LEFT($C$55:$C$62,4)=$A12)*($B$55:$B$62=$A$32)*($I$55:$I$62&lt;&gt;"Capital")*($A$55:$A$62&gt;=DATE($B$2,1,1))*($A$55:$A$62&lt;=DATE($B$2,12,31))*$F$55:$F$62)</f>
        <v/>
      </c>
      <c r="Q12" s="13">
        <f>SUMPRODUCT((LEFT($C$55:$C$62,4)=$A12)*($B$55:$B$62=$A$33)*($I$55:$I$62&lt;&gt;"Capital")*($A$55:$A$62&gt;=DATE($B$2,1,1))*($A$55:$A$62&lt;=DATE($B$2,12,31))*$F$55:$F$62)</f>
        <v/>
      </c>
      <c r="R12" s="13">
        <f>SUMPRODUCT((LEFT($C$55:$C$62,4)=$A12)*($B$55:$B$62=$A$34)*($I$55:$I$62&lt;&gt;"Capital")*($A$55:$A$62&gt;=DATE($B$2,1,1))*($A$55:$A$62&lt;=DATE($B$2,12,31))*$F$55:$F$62)</f>
        <v/>
      </c>
      <c r="S12" s="13">
        <f>SUMPRODUCT((LEFT($C$55:$C$62,4)=$A12)*($B$55:$B$62=$A$35)*($I$55:$I$62&lt;&gt;"Capital")*($A$55:$A$62&gt;=DATE($B$2,1,1))*($A$55:$A$62&lt;=DATE($B$2,12,31))*$F$55:$F$62)</f>
        <v/>
      </c>
      <c r="T12" s="13">
        <f>SUMPRODUCT((LEFT($C$55:$C$62,4)=$A12)*($B$55:$B$62=$A$36)*($I$55:$I$62&lt;&gt;"Capital")*($A$55:$A$62&gt;=DATE($B$2,1,1))*($A$55:$A$62&lt;=DATE($B$2,12,31))*$F$55:$F$62)</f>
        <v/>
      </c>
      <c r="U12" s="13">
        <f>SUMPRODUCT((LEFT($C$55:$C$62,4)=$A12)*($B$55:$B$62=$A$37)*($I$55:$I$62&lt;&gt;"Capital")*($A$55:$A$62&gt;=DATE($B$2,1,1))*($A$55:$A$62&lt;=DATE($B$2,12,31))*$F$55:$F$62)</f>
        <v/>
      </c>
      <c r="V12" s="13">
        <f>SUMPRODUCT((LEFT($C$55:$C$62,4)=$A12)*($B$55:$B$62=$A$38)*($I$55:$I$62&lt;&gt;"Capital")*($A$55:$A$62&gt;=DATE($B$2,1,1))*($A$55:$A$62&lt;=DATE($B$2,12,31))*$F$55:$F$62)</f>
        <v/>
      </c>
      <c r="W12" s="13">
        <f>SUMPRODUCT((LEFT($C$55:$C$62,4)=$A12)*($B$55:$B$62=$A$39)*($I$55:$I$62&lt;&gt;"Capital")*($A$55:$A$62&gt;=DATE($B$2,1,1))*($A$55:$A$62&lt;=DATE($B$2,12,31))*$F$55:$F$62)</f>
        <v/>
      </c>
      <c r="X12" s="13">
        <f>SUMPRODUCT((LEFT($C$55:$C$62,4)=$A12)*($B$55:$B$62=$A$40)*($I$55:$I$62&lt;&gt;"Capital")*($A$55:$A$62&gt;=DATE($B$2,1,1))*($A$55:$A$62&lt;=DATE($B$2,12,31))*$F$55:$F$62)</f>
        <v/>
      </c>
    </row>
    <row r="13">
      <c r="A13" s="8" t="inlineStr">
        <is>
          <t>9060</t>
        </is>
      </c>
      <c r="B13" s="12" t="inlineStr">
        <is>
          <t>Salaries, wages and benefits</t>
        </is>
      </c>
      <c r="C13" s="9">
        <f>SUMPRODUCT((LEFT($C$55:$C$62,4)=$A13)*($B$55:$B$62=$A$31)*($I$55:$I$62&lt;&gt;"Capital")*($A$55:$A$62&gt;=DATE($B$2,1,1))*($A$55:$A$62&lt;=DATE($B$2,12,31))*$F$55:$F$62*$K$55:$K$62)</f>
        <v/>
      </c>
      <c r="D13" s="9">
        <f>SUMPRODUCT((LEFT($C$55:$C$62,4)=$A13)*($B$55:$B$62=$A$32)*($I$55:$I$62&lt;&gt;"Capital")*($A$55:$A$62&gt;=DATE($B$2,1,1))*($A$55:$A$62&lt;=DATE($B$2,12,31))*$F$55:$F$62*$K$55:$K$62)</f>
        <v/>
      </c>
      <c r="E13" s="9">
        <f>SUMPRODUCT((LEFT($C$55:$C$62,4)=$A13)*($B$55:$B$62=$A$33)*($I$55:$I$62&lt;&gt;"Capital")*($A$55:$A$62&gt;=DATE($B$2,1,1))*($A$55:$A$62&lt;=DATE($B$2,12,31))*$F$55:$F$62*$K$55:$K$62)</f>
        <v/>
      </c>
      <c r="F13" s="9">
        <f>SUMPRODUCT((LEFT($C$55:$C$62,4)=$A13)*($B$55:$B$62=$A$34)*($I$55:$I$62&lt;&gt;"Capital")*($A$55:$A$62&gt;=DATE($B$2,1,1))*($A$55:$A$62&lt;=DATE($B$2,12,31))*$F$55:$F$62*$K$55:$K$62)</f>
        <v/>
      </c>
      <c r="G13" s="9">
        <f>SUMPRODUCT((LEFT($C$55:$C$62,4)=$A13)*($B$55:$B$62=$A$35)*($I$55:$I$62&lt;&gt;"Capital")*($A$55:$A$62&gt;=DATE($B$2,1,1))*($A$55:$A$62&lt;=DATE($B$2,12,31))*$F$55:$F$62*$K$55:$K$62)</f>
        <v/>
      </c>
      <c r="H13" s="9">
        <f>SUMPRODUCT((LEFT($C$55:$C$62,4)=$A13)*($B$55:$B$62=$A$36)*($I$55:$I$62&lt;&gt;"Capital")*($A$55:$A$62&gt;=DATE($B$2,1,1))*($A$55:$A$62&lt;=DATE($B$2,12,31))*$F$55:$F$62*$K$55:$K$62)</f>
        <v/>
      </c>
      <c r="I13" s="9">
        <f>SUMPRODUCT((LEFT($C$55:$C$62,4)=$A13)*($B$55:$B$62=$A$37)*($I$55:$I$62&lt;&gt;"Capital")*($A$55:$A$62&gt;=DATE($B$2,1,1))*($A$55:$A$62&lt;=DATE($B$2,12,31))*$F$55:$F$62*$K$55:$K$62)</f>
        <v/>
      </c>
      <c r="J13" s="9">
        <f>SUMPRODUCT((LEFT($C$55:$C$62,4)=$A13)*($B$55:$B$62=$A$38)*($I$55:$I$62&lt;&gt;"Capital")*($A$55:$A$62&gt;=DATE($B$2,1,1))*($A$55:$A$62&lt;=DATE($B$2,12,31))*$F$55:$F$62*$K$55:$K$62)</f>
        <v/>
      </c>
      <c r="K13" s="9">
        <f>SUMPRODUCT((LEFT($C$55:$C$62,4)=$A13)*($B$55:$B$62=$A$39)*($I$55:$I$62&lt;&gt;"Capital")*($A$55:$A$62&gt;=DATE($B$2,1,1))*($A$55:$A$62&lt;=DATE($B$2,12,31))*$F$55:$F$62*$K$55:$K$62)</f>
        <v/>
      </c>
      <c r="L13" s="9">
        <f>SUMPRODUCT((LEFT($C$55:$C$62,4)=$A13)*($B$55:$B$62=$A$40)*($I$55:$I$62&lt;&gt;"Capital")*($A$55:$A$62&gt;=DATE($B$2,1,1))*($A$55:$A$62&lt;=DATE($B$2,12,31))*$F$55:$F$62*$K$55:$K$62)</f>
        <v/>
      </c>
      <c r="M13" s="10">
        <f>SUM(C13:L13)</f>
        <v/>
      </c>
      <c r="N13" s="9">
        <f>SUM(O13:X13)-M13</f>
        <v/>
      </c>
      <c r="O13" s="13">
        <f>SUMPRODUCT((LEFT($C$55:$C$62,4)=$A13)*($B$55:$B$62=$A$31)*($I$55:$I$62&lt;&gt;"Capital")*($A$55:$A$62&gt;=DATE($B$2,1,1))*($A$55:$A$62&lt;=DATE($B$2,12,31))*$F$55:$F$62)</f>
        <v/>
      </c>
      <c r="P13" s="13">
        <f>SUMPRODUCT((LEFT($C$55:$C$62,4)=$A13)*($B$55:$B$62=$A$32)*($I$55:$I$62&lt;&gt;"Capital")*($A$55:$A$62&gt;=DATE($B$2,1,1))*($A$55:$A$62&lt;=DATE($B$2,12,31))*$F$55:$F$62)</f>
        <v/>
      </c>
      <c r="Q13" s="13">
        <f>SUMPRODUCT((LEFT($C$55:$C$62,4)=$A13)*($B$55:$B$62=$A$33)*($I$55:$I$62&lt;&gt;"Capital")*($A$55:$A$62&gt;=DATE($B$2,1,1))*($A$55:$A$62&lt;=DATE($B$2,12,31))*$F$55:$F$62)</f>
        <v/>
      </c>
      <c r="R13" s="13">
        <f>SUMPRODUCT((LEFT($C$55:$C$62,4)=$A13)*($B$55:$B$62=$A$34)*($I$55:$I$62&lt;&gt;"Capital")*($A$55:$A$62&gt;=DATE($B$2,1,1))*($A$55:$A$62&lt;=DATE($B$2,12,31))*$F$55:$F$62)</f>
        <v/>
      </c>
      <c r="S13" s="13">
        <f>SUMPRODUCT((LEFT($C$55:$C$62,4)=$A13)*($B$55:$B$62=$A$35)*($I$55:$I$62&lt;&gt;"Capital")*($A$55:$A$62&gt;=DATE($B$2,1,1))*($A$55:$A$62&lt;=DATE($B$2,12,31))*$F$55:$F$62)</f>
        <v/>
      </c>
      <c r="T13" s="13">
        <f>SUMPRODUCT((LEFT($C$55:$C$62,4)=$A13)*($B$55:$B$62=$A$36)*($I$55:$I$62&lt;&gt;"Capital")*($A$55:$A$62&gt;=DATE($B$2,1,1))*($A$55:$A$62&lt;=DATE($B$2,12,31))*$F$55:$F$62)</f>
        <v/>
      </c>
      <c r="U13" s="13">
        <f>SUMPRODUCT((LEFT($C$55:$C$62,4)=$A13)*($B$55:$B$62=$A$37)*($I$55:$I$62&lt;&gt;"Capital")*($A$55:$A$62&gt;=DATE($B$2,1,1))*($A$55:$A$62&lt;=DATE($B$2,12,31))*$F$55:$F$62)</f>
        <v/>
      </c>
      <c r="V13" s="13">
        <f>SUMPRODUCT((LEFT($C$55:$C$62,4)=$A13)*($B$55:$B$62=$A$38)*($I$55:$I$62&lt;&gt;"Capital")*($A$55:$A$62&gt;=DATE($B$2,1,1))*($A$55:$A$62&lt;=DATE($B$2,12,31))*$F$55:$F$62)</f>
        <v/>
      </c>
      <c r="W13" s="13">
        <f>SUMPRODUCT((LEFT($C$55:$C$62,4)=$A13)*($B$55:$B$62=$A$39)*($I$55:$I$62&lt;&gt;"Capital")*($A$55:$A$62&gt;=DATE($B$2,1,1))*($A$55:$A$62&lt;=DATE($B$2,12,31))*$F$55:$F$62)</f>
        <v/>
      </c>
      <c r="X13" s="13">
        <f>SUMPRODUCT((LEFT($C$55:$C$62,4)=$A13)*($B$55:$B$62=$A$40)*($I$55:$I$62&lt;&gt;"Capital")*($A$55:$A$62&gt;=DATE($B$2,1,1))*($A$55:$A$62&lt;=DATE($B$2,12,31))*$F$55:$F$62)</f>
        <v/>
      </c>
    </row>
    <row r="14">
      <c r="A14" s="8" t="inlineStr">
        <is>
          <t>9180</t>
        </is>
      </c>
      <c r="B14" s="12" t="inlineStr">
        <is>
          <t>Property taxes</t>
        </is>
      </c>
      <c r="C14" s="9">
        <f>SUMPRODUCT((LEFT($C$55:$C$62,4)=$A14)*($B$55:$B$62=$A$31)*($I$55:$I$62&lt;&gt;"Capital")*($A$55:$A$62&gt;=DATE($B$2,1,1))*($A$55:$A$62&lt;=DATE($B$2,12,31))*$F$55:$F$62*$K$55:$K$62)</f>
        <v/>
      </c>
      <c r="D14" s="9">
        <f>SUMPRODUCT((LEFT($C$55:$C$62,4)=$A14)*($B$55:$B$62=$A$32)*($I$55:$I$62&lt;&gt;"Capital")*($A$55:$A$62&gt;=DATE($B$2,1,1))*($A$55:$A$62&lt;=DATE($B$2,12,31))*$F$55:$F$62*$K$55:$K$62)</f>
        <v/>
      </c>
      <c r="E14" s="9">
        <f>SUMPRODUCT((LEFT($C$55:$C$62,4)=$A14)*($B$55:$B$62=$A$33)*($I$55:$I$62&lt;&gt;"Capital")*($A$55:$A$62&gt;=DATE($B$2,1,1))*($A$55:$A$62&lt;=DATE($B$2,12,31))*$F$55:$F$62*$K$55:$K$62)</f>
        <v/>
      </c>
      <c r="F14" s="9">
        <f>SUMPRODUCT((LEFT($C$55:$C$62,4)=$A14)*($B$55:$B$62=$A$34)*($I$55:$I$62&lt;&gt;"Capital")*($A$55:$A$62&gt;=DATE($B$2,1,1))*($A$55:$A$62&lt;=DATE($B$2,12,31))*$F$55:$F$62*$K$55:$K$62)</f>
        <v/>
      </c>
      <c r="G14" s="9">
        <f>SUMPRODUCT((LEFT($C$55:$C$62,4)=$A14)*($B$55:$B$62=$A$35)*($I$55:$I$62&lt;&gt;"Capital")*($A$55:$A$62&gt;=DATE($B$2,1,1))*($A$55:$A$62&lt;=DATE($B$2,12,31))*$F$55:$F$62*$K$55:$K$62)</f>
        <v/>
      </c>
      <c r="H14" s="9">
        <f>SUMPRODUCT((LEFT($C$55:$C$62,4)=$A14)*($B$55:$B$62=$A$36)*($I$55:$I$62&lt;&gt;"Capital")*($A$55:$A$62&gt;=DATE($B$2,1,1))*($A$55:$A$62&lt;=DATE($B$2,12,31))*$F$55:$F$62*$K$55:$K$62)</f>
        <v/>
      </c>
      <c r="I14" s="9">
        <f>SUMPRODUCT((LEFT($C$55:$C$62,4)=$A14)*($B$55:$B$62=$A$37)*($I$55:$I$62&lt;&gt;"Capital")*($A$55:$A$62&gt;=DATE($B$2,1,1))*($A$55:$A$62&lt;=DATE($B$2,12,31))*$F$55:$F$62*$K$55:$K$62)</f>
        <v/>
      </c>
      <c r="J14" s="9">
        <f>SUMPRODUCT((LEFT($C$55:$C$62,4)=$A14)*($B$55:$B$62=$A$38)*($I$55:$I$62&lt;&gt;"Capital")*($A$55:$A$62&gt;=DATE($B$2,1,1))*($A$55:$A$62&lt;=DATE($B$2,12,31))*$F$55:$F$62*$K$55:$K$62)</f>
        <v/>
      </c>
      <c r="K14" s="9">
        <f>SUMPRODUCT((LEFT($C$55:$C$62,4)=$A14)*($B$55:$B$62=$A$39)*($I$55:$I$62&lt;&gt;"Capital")*($A$55:$A$62&gt;=DATE($B$2,1,1))*($A$55:$A$62&lt;=DATE($B$2,12,31))*$F$55:$F$62*$K$55:$K$62)</f>
        <v/>
      </c>
      <c r="L14" s="9">
        <f>SUMPRODUCT((LEFT($C$55:$C$62,4)=$A14)*($B$55:$B$62=$A$40)*($I$55:$I$62&lt;&gt;"Capital")*($A$55:$A$62&gt;=DATE($B$2,1,1))*($A$55:$A$62&lt;=DATE($B$2,12,31))*$F$55:$F$62*$K$55:$K$62)</f>
        <v/>
      </c>
      <c r="M14" s="10">
        <f>SUM(C14:L14)</f>
        <v/>
      </c>
      <c r="N14" s="9">
        <f>SUM(O14:X14)-M14</f>
        <v/>
      </c>
      <c r="O14" s="13">
        <f>SUMPRODUCT((LEFT($C$55:$C$62,4)=$A14)*($B$55:$B$62=$A$31)*($I$55:$I$62&lt;&gt;"Capital")*($A$55:$A$62&gt;=DATE($B$2,1,1))*($A$55:$A$62&lt;=DATE($B$2,12,31))*$F$55:$F$62)</f>
        <v/>
      </c>
      <c r="P14" s="13">
        <f>SUMPRODUCT((LEFT($C$55:$C$62,4)=$A14)*($B$55:$B$62=$A$32)*($I$55:$I$62&lt;&gt;"Capital")*($A$55:$A$62&gt;=DATE($B$2,1,1))*($A$55:$A$62&lt;=DATE($B$2,12,31))*$F$55:$F$62)</f>
        <v/>
      </c>
      <c r="Q14" s="13">
        <f>SUMPRODUCT((LEFT($C$55:$C$62,4)=$A14)*($B$55:$B$62=$A$33)*($I$55:$I$62&lt;&gt;"Capital")*($A$55:$A$62&gt;=DATE($B$2,1,1))*($A$55:$A$62&lt;=DATE($B$2,12,31))*$F$55:$F$62)</f>
        <v/>
      </c>
      <c r="R14" s="13">
        <f>SUMPRODUCT((LEFT($C$55:$C$62,4)=$A14)*($B$55:$B$62=$A$34)*($I$55:$I$62&lt;&gt;"Capital")*($A$55:$A$62&gt;=DATE($B$2,1,1))*($A$55:$A$62&lt;=DATE($B$2,12,31))*$F$55:$F$62)</f>
        <v/>
      </c>
      <c r="S14" s="13">
        <f>SUMPRODUCT((LEFT($C$55:$C$62,4)=$A14)*($B$55:$B$62=$A$35)*($I$55:$I$62&lt;&gt;"Capital")*($A$55:$A$62&gt;=DATE($B$2,1,1))*($A$55:$A$62&lt;=DATE($B$2,12,31))*$F$55:$F$62)</f>
        <v/>
      </c>
      <c r="T14" s="13">
        <f>SUMPRODUCT((LEFT($C$55:$C$62,4)=$A14)*($B$55:$B$62=$A$36)*($I$55:$I$62&lt;&gt;"Capital")*($A$55:$A$62&gt;=DATE($B$2,1,1))*($A$55:$A$62&lt;=DATE($B$2,12,31))*$F$55:$F$62)</f>
        <v/>
      </c>
      <c r="U14" s="13">
        <f>SUMPRODUCT((LEFT($C$55:$C$62,4)=$A14)*($B$55:$B$62=$A$37)*($I$55:$I$62&lt;&gt;"Capital")*($A$55:$A$62&gt;=DATE($B$2,1,1))*($A$55:$A$62&lt;=DATE($B$2,12,31))*$F$55:$F$62)</f>
        <v/>
      </c>
      <c r="V14" s="13">
        <f>SUMPRODUCT((LEFT($C$55:$C$62,4)=$A14)*($B$55:$B$62=$A$38)*($I$55:$I$62&lt;&gt;"Capital")*($A$55:$A$62&gt;=DATE($B$2,1,1))*($A$55:$A$62&lt;=DATE($B$2,12,31))*$F$55:$F$62)</f>
        <v/>
      </c>
      <c r="W14" s="13">
        <f>SUMPRODUCT((LEFT($C$55:$C$62,4)=$A14)*($B$55:$B$62=$A$39)*($I$55:$I$62&lt;&gt;"Capital")*($A$55:$A$62&gt;=DATE($B$2,1,1))*($A$55:$A$62&lt;=DATE($B$2,12,31))*$F$55:$F$62)</f>
        <v/>
      </c>
      <c r="X14" s="13">
        <f>SUMPRODUCT((LEFT($C$55:$C$62,4)=$A14)*($B$55:$B$62=$A$40)*($I$55:$I$62&lt;&gt;"Capital")*($A$55:$A$62&gt;=DATE($B$2,1,1))*($A$55:$A$62&lt;=DATE($B$2,12,31))*$F$55:$F$62)</f>
        <v/>
      </c>
    </row>
    <row r="15">
      <c r="A15" s="8" t="inlineStr">
        <is>
          <t>9200</t>
        </is>
      </c>
      <c r="B15" s="12" t="inlineStr">
        <is>
          <t>Travel</t>
        </is>
      </c>
      <c r="C15" s="9">
        <f>SUMPRODUCT((LEFT($C$55:$C$62,4)=$A15)*($B$55:$B$62=$A$31)*($I$55:$I$62&lt;&gt;"Capital")*($A$55:$A$62&gt;=DATE($B$2,1,1))*($A$55:$A$62&lt;=DATE($B$2,12,31))*$F$55:$F$62*$K$55:$K$62)</f>
        <v/>
      </c>
      <c r="D15" s="9">
        <f>SUMPRODUCT((LEFT($C$55:$C$62,4)=$A15)*($B$55:$B$62=$A$32)*($I$55:$I$62&lt;&gt;"Capital")*($A$55:$A$62&gt;=DATE($B$2,1,1))*($A$55:$A$62&lt;=DATE($B$2,12,31))*$F$55:$F$62*$K$55:$K$62)</f>
        <v/>
      </c>
      <c r="E15" s="9">
        <f>SUMPRODUCT((LEFT($C$55:$C$62,4)=$A15)*($B$55:$B$62=$A$33)*($I$55:$I$62&lt;&gt;"Capital")*($A$55:$A$62&gt;=DATE($B$2,1,1))*($A$55:$A$62&lt;=DATE($B$2,12,31))*$F$55:$F$62*$K$55:$K$62)</f>
        <v/>
      </c>
      <c r="F15" s="9">
        <f>SUMPRODUCT((LEFT($C$55:$C$62,4)=$A15)*($B$55:$B$62=$A$34)*($I$55:$I$62&lt;&gt;"Capital")*($A$55:$A$62&gt;=DATE($B$2,1,1))*($A$55:$A$62&lt;=DATE($B$2,12,31))*$F$55:$F$62*$K$55:$K$62)</f>
        <v/>
      </c>
      <c r="G15" s="9">
        <f>SUMPRODUCT((LEFT($C$55:$C$62,4)=$A15)*($B$55:$B$62=$A$35)*($I$55:$I$62&lt;&gt;"Capital")*($A$55:$A$62&gt;=DATE($B$2,1,1))*($A$55:$A$62&lt;=DATE($B$2,12,31))*$F$55:$F$62*$K$55:$K$62)</f>
        <v/>
      </c>
      <c r="H15" s="9">
        <f>SUMPRODUCT((LEFT($C$55:$C$62,4)=$A15)*($B$55:$B$62=$A$36)*($I$55:$I$62&lt;&gt;"Capital")*($A$55:$A$62&gt;=DATE($B$2,1,1))*($A$55:$A$62&lt;=DATE($B$2,12,31))*$F$55:$F$62*$K$55:$K$62)</f>
        <v/>
      </c>
      <c r="I15" s="9">
        <f>SUMPRODUCT((LEFT($C$55:$C$62,4)=$A15)*($B$55:$B$62=$A$37)*($I$55:$I$62&lt;&gt;"Capital")*($A$55:$A$62&gt;=DATE($B$2,1,1))*($A$55:$A$62&lt;=DATE($B$2,12,31))*$F$55:$F$62*$K$55:$K$62)</f>
        <v/>
      </c>
      <c r="J15" s="9">
        <f>SUMPRODUCT((LEFT($C$55:$C$62,4)=$A15)*($B$55:$B$62=$A$38)*($I$55:$I$62&lt;&gt;"Capital")*($A$55:$A$62&gt;=DATE($B$2,1,1))*($A$55:$A$62&lt;=DATE($B$2,12,31))*$F$55:$F$62*$K$55:$K$62)</f>
        <v/>
      </c>
      <c r="K15" s="9">
        <f>SUMPRODUCT((LEFT($C$55:$C$62,4)=$A15)*($B$55:$B$62=$A$39)*($I$55:$I$62&lt;&gt;"Capital")*($A$55:$A$62&gt;=DATE($B$2,1,1))*($A$55:$A$62&lt;=DATE($B$2,12,31))*$F$55:$F$62*$K$55:$K$62)</f>
        <v/>
      </c>
      <c r="L15" s="9">
        <f>SUMPRODUCT((LEFT($C$55:$C$62,4)=$A15)*($B$55:$B$62=$A$40)*($I$55:$I$62&lt;&gt;"Capital")*($A$55:$A$62&gt;=DATE($B$2,1,1))*($A$55:$A$62&lt;=DATE($B$2,12,31))*$F$55:$F$62*$K$55:$K$62)</f>
        <v/>
      </c>
      <c r="M15" s="10">
        <f>SUM(C15:L15)</f>
        <v/>
      </c>
      <c r="N15" s="9">
        <f>SUM(O15:X15)-M15</f>
        <v/>
      </c>
      <c r="O15" s="13">
        <f>SUMPRODUCT((LEFT($C$55:$C$62,4)=$A15)*($B$55:$B$62=$A$31)*($I$55:$I$62&lt;&gt;"Capital")*($A$55:$A$62&gt;=DATE($B$2,1,1))*($A$55:$A$62&lt;=DATE($B$2,12,31))*$F$55:$F$62)</f>
        <v/>
      </c>
      <c r="P15" s="13">
        <f>SUMPRODUCT((LEFT($C$55:$C$62,4)=$A15)*($B$55:$B$62=$A$32)*($I$55:$I$62&lt;&gt;"Capital")*($A$55:$A$62&gt;=DATE($B$2,1,1))*($A$55:$A$62&lt;=DATE($B$2,12,31))*$F$55:$F$62)</f>
        <v/>
      </c>
      <c r="Q15" s="13">
        <f>SUMPRODUCT((LEFT($C$55:$C$62,4)=$A15)*($B$55:$B$62=$A$33)*($I$55:$I$62&lt;&gt;"Capital")*($A$55:$A$62&gt;=DATE($B$2,1,1))*($A$55:$A$62&lt;=DATE($B$2,12,31))*$F$55:$F$62)</f>
        <v/>
      </c>
      <c r="R15" s="13">
        <f>SUMPRODUCT((LEFT($C$55:$C$62,4)=$A15)*($B$55:$B$62=$A$34)*($I$55:$I$62&lt;&gt;"Capital")*($A$55:$A$62&gt;=DATE($B$2,1,1))*($A$55:$A$62&lt;=DATE($B$2,12,31))*$F$55:$F$62)</f>
        <v/>
      </c>
      <c r="S15" s="13">
        <f>SUMPRODUCT((LEFT($C$55:$C$62,4)=$A15)*($B$55:$B$62=$A$35)*($I$55:$I$62&lt;&gt;"Capital")*($A$55:$A$62&gt;=DATE($B$2,1,1))*($A$55:$A$62&lt;=DATE($B$2,12,31))*$F$55:$F$62)</f>
        <v/>
      </c>
      <c r="T15" s="13">
        <f>SUMPRODUCT((LEFT($C$55:$C$62,4)=$A15)*($B$55:$B$62=$A$36)*($I$55:$I$62&lt;&gt;"Capital")*($A$55:$A$62&gt;=DATE($B$2,1,1))*($A$55:$A$62&lt;=DATE($B$2,12,31))*$F$55:$F$62)</f>
        <v/>
      </c>
      <c r="U15" s="13">
        <f>SUMPRODUCT((LEFT($C$55:$C$62,4)=$A15)*($B$55:$B$62=$A$37)*($I$55:$I$62&lt;&gt;"Capital")*($A$55:$A$62&gt;=DATE($B$2,1,1))*($A$55:$A$62&lt;=DATE($B$2,12,31))*$F$55:$F$62)</f>
        <v/>
      </c>
      <c r="V15" s="13">
        <f>SUMPRODUCT((LEFT($C$55:$C$62,4)=$A15)*($B$55:$B$62=$A$38)*($I$55:$I$62&lt;&gt;"Capital")*($A$55:$A$62&gt;=DATE($B$2,1,1))*($A$55:$A$62&lt;=DATE($B$2,12,31))*$F$55:$F$62)</f>
        <v/>
      </c>
      <c r="W15" s="13">
        <f>SUMPRODUCT((LEFT($C$55:$C$62,4)=$A15)*($B$55:$B$62=$A$39)*($I$55:$I$62&lt;&gt;"Capital")*($A$55:$A$62&gt;=DATE($B$2,1,1))*($A$55:$A$62&lt;=DATE($B$2,12,31))*$F$55:$F$62)</f>
        <v/>
      </c>
      <c r="X15" s="13">
        <f>SUMPRODUCT((LEFT($C$55:$C$62,4)=$A15)*($B$55:$B$62=$A$40)*($I$55:$I$62&lt;&gt;"Capital")*($A$55:$A$62&gt;=DATE($B$2,1,1))*($A$55:$A$62&lt;=DATE($B$2,12,31))*$F$55:$F$62)</f>
        <v/>
      </c>
    </row>
    <row r="16">
      <c r="A16" s="8" t="inlineStr">
        <is>
          <t>9220</t>
        </is>
      </c>
      <c r="B16" s="12" t="inlineStr">
        <is>
          <t>Utilities</t>
        </is>
      </c>
      <c r="C16" s="9">
        <f>SUMPRODUCT((LEFT($C$55:$C$62,4)=$A16)*($B$55:$B$62=$A$31)*($I$55:$I$62&lt;&gt;"Capital")*($A$55:$A$62&gt;=DATE($B$2,1,1))*($A$55:$A$62&lt;=DATE($B$2,12,31))*$F$55:$F$62*$K$55:$K$62)</f>
        <v/>
      </c>
      <c r="D16" s="9">
        <f>SUMPRODUCT((LEFT($C$55:$C$62,4)=$A16)*($B$55:$B$62=$A$32)*($I$55:$I$62&lt;&gt;"Capital")*($A$55:$A$62&gt;=DATE($B$2,1,1))*($A$55:$A$62&lt;=DATE($B$2,12,31))*$F$55:$F$62*$K$55:$K$62)</f>
        <v/>
      </c>
      <c r="E16" s="9">
        <f>SUMPRODUCT((LEFT($C$55:$C$62,4)=$A16)*($B$55:$B$62=$A$33)*($I$55:$I$62&lt;&gt;"Capital")*($A$55:$A$62&gt;=DATE($B$2,1,1))*($A$55:$A$62&lt;=DATE($B$2,12,31))*$F$55:$F$62*$K$55:$K$62)</f>
        <v/>
      </c>
      <c r="F16" s="9">
        <f>SUMPRODUCT((LEFT($C$55:$C$62,4)=$A16)*($B$55:$B$62=$A$34)*($I$55:$I$62&lt;&gt;"Capital")*($A$55:$A$62&gt;=DATE($B$2,1,1))*($A$55:$A$62&lt;=DATE($B$2,12,31))*$F$55:$F$62*$K$55:$K$62)</f>
        <v/>
      </c>
      <c r="G16" s="9">
        <f>SUMPRODUCT((LEFT($C$55:$C$62,4)=$A16)*($B$55:$B$62=$A$35)*($I$55:$I$62&lt;&gt;"Capital")*($A$55:$A$62&gt;=DATE($B$2,1,1))*($A$55:$A$62&lt;=DATE($B$2,12,31))*$F$55:$F$62*$K$55:$K$62)</f>
        <v/>
      </c>
      <c r="H16" s="9">
        <f>SUMPRODUCT((LEFT($C$55:$C$62,4)=$A16)*($B$55:$B$62=$A$36)*($I$55:$I$62&lt;&gt;"Capital")*($A$55:$A$62&gt;=DATE($B$2,1,1))*($A$55:$A$62&lt;=DATE($B$2,12,31))*$F$55:$F$62*$K$55:$K$62)</f>
        <v/>
      </c>
      <c r="I16" s="9">
        <f>SUMPRODUCT((LEFT($C$55:$C$62,4)=$A16)*($B$55:$B$62=$A$37)*($I$55:$I$62&lt;&gt;"Capital")*($A$55:$A$62&gt;=DATE($B$2,1,1))*($A$55:$A$62&lt;=DATE($B$2,12,31))*$F$55:$F$62*$K$55:$K$62)</f>
        <v/>
      </c>
      <c r="J16" s="9">
        <f>SUMPRODUCT((LEFT($C$55:$C$62,4)=$A16)*($B$55:$B$62=$A$38)*($I$55:$I$62&lt;&gt;"Capital")*($A$55:$A$62&gt;=DATE($B$2,1,1))*($A$55:$A$62&lt;=DATE($B$2,12,31))*$F$55:$F$62*$K$55:$K$62)</f>
        <v/>
      </c>
      <c r="K16" s="9">
        <f>SUMPRODUCT((LEFT($C$55:$C$62,4)=$A16)*($B$55:$B$62=$A$39)*($I$55:$I$62&lt;&gt;"Capital")*($A$55:$A$62&gt;=DATE($B$2,1,1))*($A$55:$A$62&lt;=DATE($B$2,12,31))*$F$55:$F$62*$K$55:$K$62)</f>
        <v/>
      </c>
      <c r="L16" s="9">
        <f>SUMPRODUCT((LEFT($C$55:$C$62,4)=$A16)*($B$55:$B$62=$A$40)*($I$55:$I$62&lt;&gt;"Capital")*($A$55:$A$62&gt;=DATE($B$2,1,1))*($A$55:$A$62&lt;=DATE($B$2,12,31))*$F$55:$F$62*$K$55:$K$62)</f>
        <v/>
      </c>
      <c r="M16" s="10">
        <f>SUM(C16:L16)</f>
        <v/>
      </c>
      <c r="N16" s="9">
        <f>SUM(O16:X16)-M16</f>
        <v/>
      </c>
      <c r="O16" s="13">
        <f>SUMPRODUCT((LEFT($C$55:$C$62,4)=$A16)*($B$55:$B$62=$A$31)*($I$55:$I$62&lt;&gt;"Capital")*($A$55:$A$62&gt;=DATE($B$2,1,1))*($A$55:$A$62&lt;=DATE($B$2,12,31))*$F$55:$F$62)</f>
        <v/>
      </c>
      <c r="P16" s="13">
        <f>SUMPRODUCT((LEFT($C$55:$C$62,4)=$A16)*($B$55:$B$62=$A$32)*($I$55:$I$62&lt;&gt;"Capital")*($A$55:$A$62&gt;=DATE($B$2,1,1))*($A$55:$A$62&lt;=DATE($B$2,12,31))*$F$55:$F$62)</f>
        <v/>
      </c>
      <c r="Q16" s="13">
        <f>SUMPRODUCT((LEFT($C$55:$C$62,4)=$A16)*($B$55:$B$62=$A$33)*($I$55:$I$62&lt;&gt;"Capital")*($A$55:$A$62&gt;=DATE($B$2,1,1))*($A$55:$A$62&lt;=DATE($B$2,12,31))*$F$55:$F$62)</f>
        <v/>
      </c>
      <c r="R16" s="13">
        <f>SUMPRODUCT((LEFT($C$55:$C$62,4)=$A16)*($B$55:$B$62=$A$34)*($I$55:$I$62&lt;&gt;"Capital")*($A$55:$A$62&gt;=DATE($B$2,1,1))*($A$55:$A$62&lt;=DATE($B$2,12,31))*$F$55:$F$62)</f>
        <v/>
      </c>
      <c r="S16" s="13">
        <f>SUMPRODUCT((LEFT($C$55:$C$62,4)=$A16)*($B$55:$B$62=$A$35)*($I$55:$I$62&lt;&gt;"Capital")*($A$55:$A$62&gt;=DATE($B$2,1,1))*($A$55:$A$62&lt;=DATE($B$2,12,31))*$F$55:$F$62)</f>
        <v/>
      </c>
      <c r="T16" s="13">
        <f>SUMPRODUCT((LEFT($C$55:$C$62,4)=$A16)*($B$55:$B$62=$A$36)*($I$55:$I$62&lt;&gt;"Capital")*($A$55:$A$62&gt;=DATE($B$2,1,1))*($A$55:$A$62&lt;=DATE($B$2,12,31))*$F$55:$F$62)</f>
        <v/>
      </c>
      <c r="U16" s="13">
        <f>SUMPRODUCT((LEFT($C$55:$C$62,4)=$A16)*($B$55:$B$62=$A$37)*($I$55:$I$62&lt;&gt;"Capital")*($A$55:$A$62&gt;=DATE($B$2,1,1))*($A$55:$A$62&lt;=DATE($B$2,12,31))*$F$55:$F$62)</f>
        <v/>
      </c>
      <c r="V16" s="13">
        <f>SUMPRODUCT((LEFT($C$55:$C$62,4)=$A16)*($B$55:$B$62=$A$38)*($I$55:$I$62&lt;&gt;"Capital")*($A$55:$A$62&gt;=DATE($B$2,1,1))*($A$55:$A$62&lt;=DATE($B$2,12,31))*$F$55:$F$62)</f>
        <v/>
      </c>
      <c r="W16" s="13">
        <f>SUMPRODUCT((LEFT($C$55:$C$62,4)=$A16)*($B$55:$B$62=$A$39)*($I$55:$I$62&lt;&gt;"Capital")*($A$55:$A$62&gt;=DATE($B$2,1,1))*($A$55:$A$62&lt;=DATE($B$2,12,31))*$F$55:$F$62)</f>
        <v/>
      </c>
      <c r="X16" s="13">
        <f>SUMPRODUCT((LEFT($C$55:$C$62,4)=$A16)*($B$55:$B$62=$A$40)*($I$55:$I$62&lt;&gt;"Capital")*($A$55:$A$62&gt;=DATE($B$2,1,1))*($A$55:$A$62&lt;=DATE($B$2,12,31))*$F$55:$F$62)</f>
        <v/>
      </c>
    </row>
    <row r="17">
      <c r="A17" s="8" t="inlineStr">
        <is>
          <t>9281</t>
        </is>
      </c>
      <c r="B17" s="12" t="inlineStr">
        <is>
          <t>Motor vehicle expenses</t>
        </is>
      </c>
      <c r="C17" s="9">
        <f>SUMPRODUCT((LEFT($C$55:$C$62,4)=$A17)*($B$55:$B$62=$A$31)*($I$55:$I$62&lt;&gt;"Capital")*($A$55:$A$62&gt;=DATE($B$2,1,1))*($A$55:$A$62&lt;=DATE($B$2,12,31))*$F$55:$F$62*$K$55:$K$62)</f>
        <v/>
      </c>
      <c r="D17" s="9">
        <f>SUMPRODUCT((LEFT($C$55:$C$62,4)=$A17)*($B$55:$B$62=$A$32)*($I$55:$I$62&lt;&gt;"Capital")*($A$55:$A$62&gt;=DATE($B$2,1,1))*($A$55:$A$62&lt;=DATE($B$2,12,31))*$F$55:$F$62*$K$55:$K$62)</f>
        <v/>
      </c>
      <c r="E17" s="9">
        <f>SUMPRODUCT((LEFT($C$55:$C$62,4)=$A17)*($B$55:$B$62=$A$33)*($I$55:$I$62&lt;&gt;"Capital")*($A$55:$A$62&gt;=DATE($B$2,1,1))*($A$55:$A$62&lt;=DATE($B$2,12,31))*$F$55:$F$62*$K$55:$K$62)</f>
        <v/>
      </c>
      <c r="F17" s="9">
        <f>SUMPRODUCT((LEFT($C$55:$C$62,4)=$A17)*($B$55:$B$62=$A$34)*($I$55:$I$62&lt;&gt;"Capital")*($A$55:$A$62&gt;=DATE($B$2,1,1))*($A$55:$A$62&lt;=DATE($B$2,12,31))*$F$55:$F$62*$K$55:$K$62)</f>
        <v/>
      </c>
      <c r="G17" s="9">
        <f>SUMPRODUCT((LEFT($C$55:$C$62,4)=$A17)*($B$55:$B$62=$A$35)*($I$55:$I$62&lt;&gt;"Capital")*($A$55:$A$62&gt;=DATE($B$2,1,1))*($A$55:$A$62&lt;=DATE($B$2,12,31))*$F$55:$F$62*$K$55:$K$62)</f>
        <v/>
      </c>
      <c r="H17" s="9">
        <f>SUMPRODUCT((LEFT($C$55:$C$62,4)=$A17)*($B$55:$B$62=$A$36)*($I$55:$I$62&lt;&gt;"Capital")*($A$55:$A$62&gt;=DATE($B$2,1,1))*($A$55:$A$62&lt;=DATE($B$2,12,31))*$F$55:$F$62*$K$55:$K$62)</f>
        <v/>
      </c>
      <c r="I17" s="9">
        <f>SUMPRODUCT((LEFT($C$55:$C$62,4)=$A17)*($B$55:$B$62=$A$37)*($I$55:$I$62&lt;&gt;"Capital")*($A$55:$A$62&gt;=DATE($B$2,1,1))*($A$55:$A$62&lt;=DATE($B$2,12,31))*$F$55:$F$62*$K$55:$K$62)</f>
        <v/>
      </c>
      <c r="J17" s="9">
        <f>SUMPRODUCT((LEFT($C$55:$C$62,4)=$A17)*($B$55:$B$62=$A$38)*($I$55:$I$62&lt;&gt;"Capital")*($A$55:$A$62&gt;=DATE($B$2,1,1))*($A$55:$A$62&lt;=DATE($B$2,12,31))*$F$55:$F$62*$K$55:$K$62)</f>
        <v/>
      </c>
      <c r="K17" s="9">
        <f>SUMPRODUCT((LEFT($C$55:$C$62,4)=$A17)*($B$55:$B$62=$A$39)*($I$55:$I$62&lt;&gt;"Capital")*($A$55:$A$62&gt;=DATE($B$2,1,1))*($A$55:$A$62&lt;=DATE($B$2,12,31))*$F$55:$F$62*$K$55:$K$62)</f>
        <v/>
      </c>
      <c r="L17" s="9">
        <f>SUMPRODUCT((LEFT($C$55:$C$62,4)=$A17)*($B$55:$B$62=$A$40)*($I$55:$I$62&lt;&gt;"Capital")*($A$55:$A$62&gt;=DATE($B$2,1,1))*($A$55:$A$62&lt;=DATE($B$2,12,31))*$F$55:$F$62*$K$55:$K$62)</f>
        <v/>
      </c>
      <c r="M17" s="10">
        <f>SUM(C17:L17)</f>
        <v/>
      </c>
      <c r="N17" s="9">
        <f>SUM(O17:X17)-M17</f>
        <v/>
      </c>
      <c r="O17" s="13">
        <f>SUMPRODUCT((LEFT($C$55:$C$62,4)=$A17)*($B$55:$B$62=$A$31)*($I$55:$I$62&lt;&gt;"Capital")*($A$55:$A$62&gt;=DATE($B$2,1,1))*($A$55:$A$62&lt;=DATE($B$2,12,31))*$F$55:$F$62)</f>
        <v/>
      </c>
      <c r="P17" s="13">
        <f>SUMPRODUCT((LEFT($C$55:$C$62,4)=$A17)*($B$55:$B$62=$A$32)*($I$55:$I$62&lt;&gt;"Capital")*($A$55:$A$62&gt;=DATE($B$2,1,1))*($A$55:$A$62&lt;=DATE($B$2,12,31))*$F$55:$F$62)</f>
        <v/>
      </c>
      <c r="Q17" s="13">
        <f>SUMPRODUCT((LEFT($C$55:$C$62,4)=$A17)*($B$55:$B$62=$A$33)*($I$55:$I$62&lt;&gt;"Capital")*($A$55:$A$62&gt;=DATE($B$2,1,1))*($A$55:$A$62&lt;=DATE($B$2,12,31))*$F$55:$F$62)</f>
        <v/>
      </c>
      <c r="R17" s="13">
        <f>SUMPRODUCT((LEFT($C$55:$C$62,4)=$A17)*($B$55:$B$62=$A$34)*($I$55:$I$62&lt;&gt;"Capital")*($A$55:$A$62&gt;=DATE($B$2,1,1))*($A$55:$A$62&lt;=DATE($B$2,12,31))*$F$55:$F$62)</f>
        <v/>
      </c>
      <c r="S17" s="13">
        <f>SUMPRODUCT((LEFT($C$55:$C$62,4)=$A17)*($B$55:$B$62=$A$35)*($I$55:$I$62&lt;&gt;"Capital")*($A$55:$A$62&gt;=DATE($B$2,1,1))*($A$55:$A$62&lt;=DATE($B$2,12,31))*$F$55:$F$62)</f>
        <v/>
      </c>
      <c r="T17" s="13">
        <f>SUMPRODUCT((LEFT($C$55:$C$62,4)=$A17)*($B$55:$B$62=$A$36)*($I$55:$I$62&lt;&gt;"Capital")*($A$55:$A$62&gt;=DATE($B$2,1,1))*($A$55:$A$62&lt;=DATE($B$2,12,31))*$F$55:$F$62)</f>
        <v/>
      </c>
      <c r="U17" s="13">
        <f>SUMPRODUCT((LEFT($C$55:$C$62,4)=$A17)*($B$55:$B$62=$A$37)*($I$55:$I$62&lt;&gt;"Capital")*($A$55:$A$62&gt;=DATE($B$2,1,1))*($A$55:$A$62&lt;=DATE($B$2,12,31))*$F$55:$F$62)</f>
        <v/>
      </c>
      <c r="V17" s="13">
        <f>SUMPRODUCT((LEFT($C$55:$C$62,4)=$A17)*($B$55:$B$62=$A$38)*($I$55:$I$62&lt;&gt;"Capital")*($A$55:$A$62&gt;=DATE($B$2,1,1))*($A$55:$A$62&lt;=DATE($B$2,12,31))*$F$55:$F$62)</f>
        <v/>
      </c>
      <c r="W17" s="13">
        <f>SUMPRODUCT((LEFT($C$55:$C$62,4)=$A17)*($B$55:$B$62=$A$39)*($I$55:$I$62&lt;&gt;"Capital")*($A$55:$A$62&gt;=DATE($B$2,1,1))*($A$55:$A$62&lt;=DATE($B$2,12,31))*$F$55:$F$62)</f>
        <v/>
      </c>
      <c r="X17" s="13">
        <f>SUMPRODUCT((LEFT($C$55:$C$62,4)=$A17)*($B$55:$B$62=$A$40)*($I$55:$I$62&lt;&gt;"Capital")*($A$55:$A$62&gt;=DATE($B$2,1,1))*($A$55:$A$62&lt;=DATE($B$2,12,31))*$F$55:$F$62)</f>
        <v/>
      </c>
    </row>
    <row r="18">
      <c r="A18" s="8" t="inlineStr">
        <is>
          <t>9270</t>
        </is>
      </c>
      <c r="B18" s="12" t="inlineStr">
        <is>
          <t>Other expenses</t>
        </is>
      </c>
      <c r="C18" s="9">
        <f>SUMPRODUCT((LEFT($C$55:$C$62,4)=$A18)*($B$55:$B$62=$A$31)*($I$55:$I$62&lt;&gt;"Capital")*($A$55:$A$62&gt;=DATE($B$2,1,1))*($A$55:$A$62&lt;=DATE($B$2,12,31))*$F$55:$F$62*$K$55:$K$62)</f>
        <v/>
      </c>
      <c r="D18" s="9">
        <f>SUMPRODUCT((LEFT($C$55:$C$62,4)=$A18)*($B$55:$B$62=$A$32)*($I$55:$I$62&lt;&gt;"Capital")*($A$55:$A$62&gt;=DATE($B$2,1,1))*($A$55:$A$62&lt;=DATE($B$2,12,31))*$F$55:$F$62*$K$55:$K$62)</f>
        <v/>
      </c>
      <c r="E18" s="9">
        <f>SUMPRODUCT((LEFT($C$55:$C$62,4)=$A18)*($B$55:$B$62=$A$33)*($I$55:$I$62&lt;&gt;"Capital")*($A$55:$A$62&gt;=DATE($B$2,1,1))*($A$55:$A$62&lt;=DATE($B$2,12,31))*$F$55:$F$62*$K$55:$K$62)</f>
        <v/>
      </c>
      <c r="F18" s="9">
        <f>SUMPRODUCT((LEFT($C$55:$C$62,4)=$A18)*($B$55:$B$62=$A$34)*($I$55:$I$62&lt;&gt;"Capital")*($A$55:$A$62&gt;=DATE($B$2,1,1))*($A$55:$A$62&lt;=DATE($B$2,12,31))*$F$55:$F$62*$K$55:$K$62)</f>
        <v/>
      </c>
      <c r="G18" s="9">
        <f>SUMPRODUCT((LEFT($C$55:$C$62,4)=$A18)*($B$55:$B$62=$A$35)*($I$55:$I$62&lt;&gt;"Capital")*($A$55:$A$62&gt;=DATE($B$2,1,1))*($A$55:$A$62&lt;=DATE($B$2,12,31))*$F$55:$F$62*$K$55:$K$62)</f>
        <v/>
      </c>
      <c r="H18" s="9">
        <f>SUMPRODUCT((LEFT($C$55:$C$62,4)=$A18)*($B$55:$B$62=$A$36)*($I$55:$I$62&lt;&gt;"Capital")*($A$55:$A$62&gt;=DATE($B$2,1,1))*($A$55:$A$62&lt;=DATE($B$2,12,31))*$F$55:$F$62*$K$55:$K$62)</f>
        <v/>
      </c>
      <c r="I18" s="9">
        <f>SUMPRODUCT((LEFT($C$55:$C$62,4)=$A18)*($B$55:$B$62=$A$37)*($I$55:$I$62&lt;&gt;"Capital")*($A$55:$A$62&gt;=DATE($B$2,1,1))*($A$55:$A$62&lt;=DATE($B$2,12,31))*$F$55:$F$62*$K$55:$K$62)</f>
        <v/>
      </c>
      <c r="J18" s="9">
        <f>SUMPRODUCT((LEFT($C$55:$C$62,4)=$A18)*($B$55:$B$62=$A$38)*($I$55:$I$62&lt;&gt;"Capital")*($A$55:$A$62&gt;=DATE($B$2,1,1))*($A$55:$A$62&lt;=DATE($B$2,12,31))*$F$55:$F$62*$K$55:$K$62)</f>
        <v/>
      </c>
      <c r="K18" s="9">
        <f>SUMPRODUCT((LEFT($C$55:$C$62,4)=$A18)*($B$55:$B$62=$A$39)*($I$55:$I$62&lt;&gt;"Capital")*($A$55:$A$62&gt;=DATE($B$2,1,1))*($A$55:$A$62&lt;=DATE($B$2,12,31))*$F$55:$F$62*$K$55:$K$62)</f>
        <v/>
      </c>
      <c r="L18" s="9">
        <f>SUMPRODUCT((LEFT($C$55:$C$62,4)=$A18)*($B$55:$B$62=$A$40)*($I$55:$I$62&lt;&gt;"Capital")*($A$55:$A$62&gt;=DATE($B$2,1,1))*($A$55:$A$62&lt;=DATE($B$2,12,31))*$F$55:$F$62*$K$55:$K$62)</f>
        <v/>
      </c>
      <c r="M18" s="10">
        <f>SUM(C18:L18)</f>
        <v/>
      </c>
      <c r="N18" s="9">
        <f>SUM(O18:X18)-M18</f>
        <v/>
      </c>
      <c r="O18" s="13">
        <f>SUMPRODUCT((LEFT($C$55:$C$62,4)=$A18)*($B$55:$B$62=$A$31)*($I$55:$I$62&lt;&gt;"Capital")*($A$55:$A$62&gt;=DATE($B$2,1,1))*($A$55:$A$62&lt;=DATE($B$2,12,31))*$F$55:$F$62)</f>
        <v/>
      </c>
      <c r="P18" s="13">
        <f>SUMPRODUCT((LEFT($C$55:$C$62,4)=$A18)*($B$55:$B$62=$A$32)*($I$55:$I$62&lt;&gt;"Capital")*($A$55:$A$62&gt;=DATE($B$2,1,1))*($A$55:$A$62&lt;=DATE($B$2,12,31))*$F$55:$F$62)</f>
        <v/>
      </c>
      <c r="Q18" s="13">
        <f>SUMPRODUCT((LEFT($C$55:$C$62,4)=$A18)*($B$55:$B$62=$A$33)*($I$55:$I$62&lt;&gt;"Capital")*($A$55:$A$62&gt;=DATE($B$2,1,1))*($A$55:$A$62&lt;=DATE($B$2,12,31))*$F$55:$F$62)</f>
        <v/>
      </c>
      <c r="R18" s="13">
        <f>SUMPRODUCT((LEFT($C$55:$C$62,4)=$A18)*($B$55:$B$62=$A$34)*($I$55:$I$62&lt;&gt;"Capital")*($A$55:$A$62&gt;=DATE($B$2,1,1))*($A$55:$A$62&lt;=DATE($B$2,12,31))*$F$55:$F$62)</f>
        <v/>
      </c>
      <c r="S18" s="13">
        <f>SUMPRODUCT((LEFT($C$55:$C$62,4)=$A18)*($B$55:$B$62=$A$35)*($I$55:$I$62&lt;&gt;"Capital")*($A$55:$A$62&gt;=DATE($B$2,1,1))*($A$55:$A$62&lt;=DATE($B$2,12,31))*$F$55:$F$62)</f>
        <v/>
      </c>
      <c r="T18" s="13">
        <f>SUMPRODUCT((LEFT($C$55:$C$62,4)=$A18)*($B$55:$B$62=$A$36)*($I$55:$I$62&lt;&gt;"Capital")*($A$55:$A$62&gt;=DATE($B$2,1,1))*($A$55:$A$62&lt;=DATE($B$2,12,31))*$F$55:$F$62)</f>
        <v/>
      </c>
      <c r="U18" s="13">
        <f>SUMPRODUCT((LEFT($C$55:$C$62,4)=$A18)*($B$55:$B$62=$A$37)*($I$55:$I$62&lt;&gt;"Capital")*($A$55:$A$62&gt;=DATE($B$2,1,1))*($A$55:$A$62&lt;=DATE($B$2,12,31))*$F$55:$F$62)</f>
        <v/>
      </c>
      <c r="V18" s="13">
        <f>SUMPRODUCT((LEFT($C$55:$C$62,4)=$A18)*($B$55:$B$62=$A$38)*($I$55:$I$62&lt;&gt;"Capital")*($A$55:$A$62&gt;=DATE($B$2,1,1))*($A$55:$A$62&lt;=DATE($B$2,12,31))*$F$55:$F$62)</f>
        <v/>
      </c>
      <c r="W18" s="13">
        <f>SUMPRODUCT((LEFT($C$55:$C$62,4)=$A18)*($B$55:$B$62=$A$39)*($I$55:$I$62&lt;&gt;"Capital")*($A$55:$A$62&gt;=DATE($B$2,1,1))*($A$55:$A$62&lt;=DATE($B$2,12,31))*$F$55:$F$62)</f>
        <v/>
      </c>
      <c r="X18" s="13">
        <f>SUMPRODUCT((LEFT($C$55:$C$62,4)=$A18)*($B$55:$B$62=$A$40)*($I$55:$I$62&lt;&gt;"Capital")*($A$55:$A$62&gt;=DATE($B$2,1,1))*($A$55:$A$62&lt;=DATE($B$2,12,31))*$F$55:$F$62)</f>
        <v/>
      </c>
    </row>
    <row r="19">
      <c r="A19" s="14" t="inlineStr">
        <is>
          <t>A</t>
        </is>
      </c>
      <c r="B19" s="14" t="inlineStr">
        <is>
          <t>Amount A - total expenses, before the personal-use adjustment</t>
        </is>
      </c>
      <c r="C19" s="14" t="n"/>
      <c r="D19" s="14" t="n"/>
      <c r="E19" s="14" t="n"/>
      <c r="F19" s="14" t="n"/>
      <c r="G19" s="14" t="n"/>
      <c r="H19" s="14" t="n"/>
      <c r="I19" s="14" t="n"/>
      <c r="J19" s="14" t="n"/>
      <c r="K19" s="14" t="n"/>
      <c r="L19" s="14" t="n"/>
      <c r="M19" s="15">
        <f>M6+M7+M8+M9+M10+M11+M12+M13+M14+M15+M16+M17+M18+N6+N7+N8+N9+N10+N11+N12+N13+N14+N15+N16+N17+N18</f>
        <v/>
      </c>
      <c r="N19" s="14" t="n"/>
    </row>
    <row r="20">
      <c r="A20" s="14" t="inlineStr">
        <is>
          <t>9949</t>
        </is>
      </c>
      <c r="B20" s="14" t="inlineStr">
        <is>
          <t>Total for personal portion</t>
        </is>
      </c>
      <c r="C20" s="14" t="n"/>
      <c r="D20" s="14" t="n"/>
      <c r="E20" s="14" t="n"/>
      <c r="F20" s="14" t="n"/>
      <c r="G20" s="14" t="n"/>
      <c r="H20" s="14" t="n"/>
      <c r="I20" s="14" t="n"/>
      <c r="J20" s="14" t="n"/>
      <c r="K20" s="14" t="n"/>
      <c r="L20" s="14" t="n"/>
      <c r="M20" s="15">
        <f>N6+N7+N8+N9+N10+N11+N12+N13+N14+N15+N16+N17+N18</f>
        <v/>
      </c>
      <c r="N20" s="14" t="n"/>
    </row>
    <row r="21">
      <c r="A21" s="14" t="n"/>
      <c r="B21" s="14" t="inlineStr">
        <is>
          <t>Deductible expenses (Amount A minus line 9949)</t>
        </is>
      </c>
      <c r="C21" s="14" t="n"/>
      <c r="D21" s="14" t="n"/>
      <c r="E21" s="14" t="n"/>
      <c r="F21" s="14" t="n"/>
      <c r="G21" s="14" t="n"/>
      <c r="H21" s="14" t="n"/>
      <c r="I21" s="14" t="n"/>
      <c r="J21" s="14" t="n"/>
      <c r="K21" s="14" t="n"/>
      <c r="L21" s="14" t="n"/>
      <c r="M21" s="15">
        <f>M6+M7+M8+M9+M10+M11+M12+M13+M14+M15+M16+M17+M18</f>
        <v/>
      </c>
      <c r="N21" s="14" t="n"/>
    </row>
    <row r="22">
      <c r="A22" s="11" t="inlineStr">
        <is>
          <t>9369</t>
        </is>
      </c>
      <c r="B22" s="11" t="inlineStr">
        <is>
          <t>Net income (loss) before adjustments</t>
        </is>
      </c>
      <c r="C22" s="11" t="n"/>
      <c r="D22" s="11" t="n"/>
      <c r="E22" s="11" t="n"/>
      <c r="F22" s="11" t="n"/>
      <c r="G22" s="11" t="n"/>
      <c r="H22" s="11" t="n"/>
      <c r="I22" s="11" t="n"/>
      <c r="J22" s="11" t="n"/>
      <c r="K22" s="11" t="n"/>
      <c r="L22" s="11" t="n"/>
      <c r="M22" s="16">
        <f>M5-M21</f>
        <v/>
      </c>
      <c r="N22" s="11" t="n"/>
    </row>
    <row r="23"/>
    <row r="24">
      <c r="B24" s="17" t="inlineStr">
        <is>
          <t>Gross rents come from the Rent Ledger. Expense lines are totalled from the Expenses tab and multiplied by each property's rental share. Rows flagged Capital on the Expenses tab are excluded here and listed on the Capital &amp; CCA tab.</t>
        </is>
      </c>
    </row>
    <row r="25"/>
    <row r="27" ht="30" customHeight="1">
      <c r="A27" s="18" t="inlineStr">
        <is>
          <t>FREE SAMPLE - the paid workbook's own T776 Summary tab, on one sheet. The invented demo rows below sit on this sheet so the file is a single tab; in the paid workbook they live on their own Setup, Rent Ledger and Expenses tabs. Type into the demo rows and the summary above totals itself.</t>
        </is>
      </c>
    </row>
    <row r="29">
      <c r="A29" s="7" t="inlineStr">
        <is>
          <t>Setup - demo property rows (invented). The property IDs are referenced by the summary's property columns.</t>
        </is>
      </c>
    </row>
    <row r="30">
      <c r="A30" s="5" t="inlineStr">
        <is>
          <t>Property ID</t>
        </is>
      </c>
      <c r="B30" s="5" t="inlineStr">
        <is>
          <t>Property name</t>
        </is>
      </c>
      <c r="C30" s="5" t="inlineStr">
        <is>
          <t>Address</t>
        </is>
      </c>
      <c r="D30" s="5" t="inlineStr">
        <is>
          <t>Province</t>
        </is>
      </c>
      <c r="E30" s="5" t="inlineStr">
        <is>
          <t>Your ownership %</t>
        </is>
      </c>
      <c r="F30" s="5" t="inlineStr">
        <is>
          <t>Date acquired</t>
        </is>
      </c>
      <c r="G30" s="5" t="inlineStr">
        <is>
          <t>Rental use %</t>
        </is>
      </c>
      <c r="H30" s="5" t="inlineStr">
        <is>
          <t>Notes</t>
        </is>
      </c>
    </row>
    <row r="31">
      <c r="A31" s="8" t="inlineStr">
        <is>
          <t>P1</t>
        </is>
      </c>
      <c r="B31" s="19" t="inlineStr">
        <is>
          <t>Maple St duplex</t>
        </is>
      </c>
      <c r="C31" s="19" t="inlineStr">
        <is>
          <t>12 Maple St</t>
        </is>
      </c>
      <c r="D31" s="12" t="inlineStr">
        <is>
          <t>ON</t>
        </is>
      </c>
      <c r="E31" s="20" t="n">
        <v>1</v>
      </c>
      <c r="F31" s="21" t="n">
        <v>43617</v>
      </c>
      <c r="G31" s="20" t="n">
        <v>1</v>
      </c>
      <c r="H31" s="19" t="inlineStr">
        <is>
          <t>Example row</t>
        </is>
      </c>
    </row>
    <row r="32">
      <c r="A32" s="8" t="inlineStr">
        <is>
          <t>P2</t>
        </is>
      </c>
      <c r="B32" s="22" t="inlineStr">
        <is>
          <t>Basement suite (own home)</t>
        </is>
      </c>
      <c r="C32" s="22" t="inlineStr">
        <is>
          <t>88 Example Ave</t>
        </is>
      </c>
      <c r="D32" s="12" t="inlineStr">
        <is>
          <t>ON</t>
        </is>
      </c>
      <c r="E32" s="20" t="n">
        <v>1</v>
      </c>
      <c r="F32" s="21" t="n">
        <v>44440</v>
      </c>
      <c r="G32" s="20" t="n">
        <v>0.4</v>
      </c>
      <c r="H32" s="22" t="inlineStr">
        <is>
          <t>Example row</t>
        </is>
      </c>
    </row>
    <row r="33">
      <c r="A33" s="8" t="inlineStr">
        <is>
          <t>P3</t>
        </is>
      </c>
      <c r="B33" s="19" t="n"/>
      <c r="C33" s="19" t="n"/>
      <c r="D33" s="12" t="n"/>
      <c r="E33" s="20" t="n">
        <v>1</v>
      </c>
      <c r="F33" s="21" t="n"/>
      <c r="G33" s="20" t="n">
        <v>1</v>
      </c>
      <c r="H33" s="19" t="n"/>
    </row>
    <row r="34">
      <c r="A34" s="8" t="inlineStr">
        <is>
          <t>P4</t>
        </is>
      </c>
      <c r="B34" s="22" t="n"/>
      <c r="C34" s="22" t="n"/>
      <c r="D34" s="12" t="n"/>
      <c r="E34" s="20" t="n">
        <v>1</v>
      </c>
      <c r="F34" s="21" t="n"/>
      <c r="G34" s="20" t="n">
        <v>1</v>
      </c>
      <c r="H34" s="22" t="n"/>
    </row>
    <row r="35">
      <c r="A35" s="8" t="inlineStr">
        <is>
          <t>P5</t>
        </is>
      </c>
      <c r="B35" s="19" t="n"/>
      <c r="C35" s="19" t="n"/>
      <c r="D35" s="12" t="n"/>
      <c r="E35" s="20" t="n">
        <v>1</v>
      </c>
      <c r="F35" s="21" t="n"/>
      <c r="G35" s="20" t="n">
        <v>1</v>
      </c>
      <c r="H35" s="19" t="n"/>
    </row>
    <row r="36">
      <c r="A36" s="8" t="inlineStr">
        <is>
          <t>P6</t>
        </is>
      </c>
      <c r="B36" s="22" t="n"/>
      <c r="C36" s="22" t="n"/>
      <c r="D36" s="12" t="n"/>
      <c r="E36" s="20" t="n">
        <v>1</v>
      </c>
      <c r="F36" s="21" t="n"/>
      <c r="G36" s="20" t="n">
        <v>1</v>
      </c>
      <c r="H36" s="22" t="n"/>
    </row>
    <row r="37">
      <c r="A37" s="8" t="inlineStr">
        <is>
          <t>P7</t>
        </is>
      </c>
      <c r="B37" s="19" t="n"/>
      <c r="C37" s="19" t="n"/>
      <c r="D37" s="12" t="n"/>
      <c r="E37" s="20" t="n">
        <v>1</v>
      </c>
      <c r="F37" s="21" t="n"/>
      <c r="G37" s="20" t="n">
        <v>1</v>
      </c>
      <c r="H37" s="19" t="n"/>
    </row>
    <row r="38">
      <c r="A38" s="8" t="inlineStr">
        <is>
          <t>P8</t>
        </is>
      </c>
      <c r="B38" s="22" t="n"/>
      <c r="C38" s="22" t="n"/>
      <c r="D38" s="12" t="n"/>
      <c r="E38" s="20" t="n">
        <v>1</v>
      </c>
      <c r="F38" s="21" t="n"/>
      <c r="G38" s="20" t="n">
        <v>1</v>
      </c>
      <c r="H38" s="22" t="n"/>
    </row>
    <row r="39">
      <c r="A39" s="8" t="inlineStr">
        <is>
          <t>P9</t>
        </is>
      </c>
      <c r="B39" s="19" t="n"/>
      <c r="C39" s="19" t="n"/>
      <c r="D39" s="12" t="n"/>
      <c r="E39" s="20" t="n">
        <v>1</v>
      </c>
      <c r="F39" s="21" t="n"/>
      <c r="G39" s="20" t="n">
        <v>1</v>
      </c>
      <c r="H39" s="19" t="n"/>
    </row>
    <row r="40">
      <c r="A40" s="8" t="inlineStr">
        <is>
          <t>P10</t>
        </is>
      </c>
      <c r="B40" s="22" t="n"/>
      <c r="C40" s="22" t="n"/>
      <c r="D40" s="12" t="n"/>
      <c r="E40" s="20" t="n">
        <v>1</v>
      </c>
      <c r="F40" s="21" t="n"/>
      <c r="G40" s="20" t="n">
        <v>1</v>
      </c>
      <c r="H40" s="22" t="n"/>
    </row>
    <row r="42">
      <c r="A42" s="7" t="inlineStr">
        <is>
          <t>Rent Ledger - demo rows (invented). The summary's gross rents line reads these.</t>
        </is>
      </c>
    </row>
    <row r="43">
      <c r="A43" s="5" t="inlineStr">
        <is>
          <t>Date received</t>
        </is>
      </c>
      <c r="B43" s="5" t="inlineStr">
        <is>
          <t>Property ID</t>
        </is>
      </c>
      <c r="C43" s="5" t="inlineStr">
        <is>
          <t>Unit</t>
        </is>
      </c>
      <c r="D43" s="5" t="inlineStr">
        <is>
          <t>Tenant</t>
        </is>
      </c>
      <c r="E43" s="5" t="inlineStr">
        <is>
          <t>Month (auto)</t>
        </is>
      </c>
      <c r="F43" s="5" t="inlineStr">
        <is>
          <t>Amount due</t>
        </is>
      </c>
      <c r="G43" s="5" t="inlineStr">
        <is>
          <t>Amount received</t>
        </is>
      </c>
      <c r="H43" s="5" t="inlineStr">
        <is>
          <t>Payment method</t>
        </is>
      </c>
      <c r="I43" s="5" t="inlineStr">
        <is>
          <t>Notes</t>
        </is>
      </c>
    </row>
    <row r="44">
      <c r="A44" s="23" t="n">
        <v>45660</v>
      </c>
      <c r="B44" s="19" t="inlineStr">
        <is>
          <t>P1</t>
        </is>
      </c>
      <c r="C44" s="19" t="inlineStr">
        <is>
          <t>Upper</t>
        </is>
      </c>
      <c r="D44" s="19" t="inlineStr">
        <is>
          <t>Tenant A</t>
        </is>
      </c>
      <c r="E44" s="12">
        <f>IF($A44="","",TEXT($A44,"YYYY-MM"))</f>
        <v/>
      </c>
      <c r="F44" s="24" t="n">
        <v>1850</v>
      </c>
      <c r="G44" s="24" t="n">
        <v>1850</v>
      </c>
      <c r="H44" s="19" t="inlineStr">
        <is>
          <t>e-Transfer</t>
        </is>
      </c>
      <c r="I44" s="19" t="inlineStr">
        <is>
          <t>Example row</t>
        </is>
      </c>
    </row>
    <row r="45">
      <c r="A45" s="23" t="n">
        <v>45660</v>
      </c>
      <c r="B45" s="19" t="inlineStr">
        <is>
          <t>P1</t>
        </is>
      </c>
      <c r="C45" s="19" t="inlineStr">
        <is>
          <t>Lower</t>
        </is>
      </c>
      <c r="D45" s="19" t="inlineStr">
        <is>
          <t>Tenant B</t>
        </is>
      </c>
      <c r="E45" s="12">
        <f>IF($A45="","",TEXT($A45,"YYYY-MM"))</f>
        <v/>
      </c>
      <c r="F45" s="24" t="n">
        <v>1500</v>
      </c>
      <c r="G45" s="24" t="n">
        <v>1500</v>
      </c>
      <c r="H45" s="19" t="inlineStr">
        <is>
          <t>Pre-auth debit</t>
        </is>
      </c>
      <c r="I45" s="19" t="inlineStr">
        <is>
          <t>Example row</t>
        </is>
      </c>
    </row>
    <row r="46">
      <c r="A46" s="23" t="n">
        <v>45691</v>
      </c>
      <c r="B46" s="19" t="inlineStr">
        <is>
          <t>P1</t>
        </is>
      </c>
      <c r="C46" s="19" t="inlineStr">
        <is>
          <t>Upper</t>
        </is>
      </c>
      <c r="D46" s="19" t="inlineStr">
        <is>
          <t>Tenant A</t>
        </is>
      </c>
      <c r="E46" s="12">
        <f>IF($A46="","",TEXT($A46,"YYYY-MM"))</f>
        <v/>
      </c>
      <c r="F46" s="24" t="n">
        <v>1850</v>
      </c>
      <c r="G46" s="24" t="n">
        <v>1850</v>
      </c>
      <c r="H46" s="19" t="inlineStr">
        <is>
          <t>e-Transfer</t>
        </is>
      </c>
      <c r="I46" s="19" t="inlineStr">
        <is>
          <t>Example row</t>
        </is>
      </c>
    </row>
    <row r="47">
      <c r="A47" s="23" t="n">
        <v>45691</v>
      </c>
      <c r="B47" s="19" t="inlineStr">
        <is>
          <t>P1</t>
        </is>
      </c>
      <c r="C47" s="19" t="inlineStr">
        <is>
          <t>Lower</t>
        </is>
      </c>
      <c r="D47" s="19" t="inlineStr">
        <is>
          <t>Tenant B</t>
        </is>
      </c>
      <c r="E47" s="12">
        <f>IF($A47="","",TEXT($A47,"YYYY-MM"))</f>
        <v/>
      </c>
      <c r="F47" s="24" t="n">
        <v>1500</v>
      </c>
      <c r="G47" s="24" t="n">
        <v>1500</v>
      </c>
      <c r="H47" s="19" t="inlineStr">
        <is>
          <t>Pre-auth debit</t>
        </is>
      </c>
      <c r="I47" s="19" t="inlineStr">
        <is>
          <t>Example row</t>
        </is>
      </c>
    </row>
    <row r="48">
      <c r="A48" s="23" t="n">
        <v>45717</v>
      </c>
      <c r="B48" s="19" t="inlineStr">
        <is>
          <t>P2</t>
        </is>
      </c>
      <c r="C48" s="19" t="inlineStr">
        <is>
          <t>Suite</t>
        </is>
      </c>
      <c r="D48" s="19" t="inlineStr">
        <is>
          <t>Tenant C</t>
        </is>
      </c>
      <c r="E48" s="12">
        <f>IF($A48="","",TEXT($A48,"YYYY-MM"))</f>
        <v/>
      </c>
      <c r="F48" s="24" t="n">
        <v>1150</v>
      </c>
      <c r="G48" s="24" t="n">
        <v>1150</v>
      </c>
      <c r="H48" s="19" t="inlineStr">
        <is>
          <t>e-Transfer</t>
        </is>
      </c>
      <c r="I48" s="19" t="inlineStr">
        <is>
          <t>Example row</t>
        </is>
      </c>
    </row>
    <row r="49">
      <c r="A49" s="23" t="n">
        <v>45748</v>
      </c>
      <c r="B49" s="19" t="inlineStr">
        <is>
          <t>P2</t>
        </is>
      </c>
      <c r="C49" s="19" t="inlineStr">
        <is>
          <t>Suite</t>
        </is>
      </c>
      <c r="D49" s="19" t="inlineStr">
        <is>
          <t>Tenant C</t>
        </is>
      </c>
      <c r="E49" s="12">
        <f>IF($A49="","",TEXT($A49,"YYYY-MM"))</f>
        <v/>
      </c>
      <c r="F49" s="24" t="n">
        <v>1150</v>
      </c>
      <c r="G49" s="24" t="n">
        <v>1150</v>
      </c>
      <c r="H49" s="19" t="inlineStr">
        <is>
          <t>e-Transfer</t>
        </is>
      </c>
      <c r="I49" s="19" t="inlineStr">
        <is>
          <t>Example row</t>
        </is>
      </c>
    </row>
    <row r="50">
      <c r="A50" s="23" t="n">
        <v>45780</v>
      </c>
      <c r="B50" s="19" t="inlineStr">
        <is>
          <t>P1</t>
        </is>
      </c>
      <c r="C50" s="19" t="inlineStr">
        <is>
          <t>Upper</t>
        </is>
      </c>
      <c r="D50" s="19" t="inlineStr">
        <is>
          <t>Tenant A</t>
        </is>
      </c>
      <c r="E50" s="12">
        <f>IF($A50="","",TEXT($A50,"YYYY-MM"))</f>
        <v/>
      </c>
      <c r="F50" s="24" t="n">
        <v>1850</v>
      </c>
      <c r="G50" s="24" t="n">
        <v>1850</v>
      </c>
      <c r="H50" s="19" t="inlineStr">
        <is>
          <t>e-Transfer</t>
        </is>
      </c>
      <c r="I50" s="19" t="inlineStr">
        <is>
          <t>Example row</t>
        </is>
      </c>
    </row>
    <row r="51">
      <c r="A51" s="23" t="n">
        <v>45809</v>
      </c>
      <c r="B51" s="19" t="inlineStr">
        <is>
          <t>P2</t>
        </is>
      </c>
      <c r="C51" s="19" t="inlineStr">
        <is>
          <t>Suite</t>
        </is>
      </c>
      <c r="D51" s="19" t="inlineStr">
        <is>
          <t>Tenant C</t>
        </is>
      </c>
      <c r="E51" s="12">
        <f>IF($A51="","",TEXT($A51,"YYYY-MM"))</f>
        <v/>
      </c>
      <c r="F51" s="24" t="n">
        <v>1150</v>
      </c>
      <c r="G51" s="24" t="n">
        <v>1150</v>
      </c>
      <c r="H51" s="19" t="inlineStr">
        <is>
          <t>e-Transfer</t>
        </is>
      </c>
      <c r="I51" s="19" t="inlineStr">
        <is>
          <t>Example row</t>
        </is>
      </c>
    </row>
    <row r="53">
      <c r="A53" s="7" t="inlineStr">
        <is>
          <t>Expenses - demo rows (invented). Each summary expense line reads these, multiplied by the property's rental share.</t>
        </is>
      </c>
    </row>
    <row r="54">
      <c r="A54" s="5" t="inlineStr">
        <is>
          <t>Date paid</t>
        </is>
      </c>
      <c r="B54" s="5" t="inlineStr">
        <is>
          <t>Property ID</t>
        </is>
      </c>
      <c r="C54" s="5" t="inlineStr">
        <is>
          <t>T776 line</t>
        </is>
      </c>
      <c r="D54" s="5" t="inlineStr">
        <is>
          <t>Vendor / payee</t>
        </is>
      </c>
      <c r="E54" s="5" t="inlineStr">
        <is>
          <t>Description</t>
        </is>
      </c>
      <c r="F54" s="5" t="inlineStr">
        <is>
          <t>Amount</t>
        </is>
      </c>
      <c r="G54" s="5" t="inlineStr">
        <is>
          <t>GST/HST paid</t>
        </is>
      </c>
      <c r="H54" s="5" t="inlineStr">
        <is>
          <t>Receipt filed</t>
        </is>
      </c>
      <c r="I54" s="5" t="inlineStr">
        <is>
          <t>Repair or capital</t>
        </is>
      </c>
      <c r="J54" s="5" t="inlineStr">
        <is>
          <t>Rental share % (optional)</t>
        </is>
      </c>
      <c r="K54" s="5" t="inlineStr">
        <is>
          <t>Rental share applied</t>
        </is>
      </c>
    </row>
    <row r="55">
      <c r="A55" s="23" t="n">
        <v>45702</v>
      </c>
      <c r="B55" s="19" t="inlineStr">
        <is>
          <t>P1</t>
        </is>
      </c>
      <c r="C55" s="19" t="inlineStr">
        <is>
          <t>9180 Property taxes</t>
        </is>
      </c>
      <c r="D55" s="19" t="inlineStr">
        <is>
          <t>Municipality</t>
        </is>
      </c>
      <c r="E55" s="19" t="inlineStr">
        <is>
          <t>Property tax</t>
        </is>
      </c>
      <c r="F55" s="24" t="n">
        <v>2400</v>
      </c>
      <c r="G55" s="24" t="n">
        <v>0</v>
      </c>
      <c r="H55" s="19" t="inlineStr">
        <is>
          <t>Yes</t>
        </is>
      </c>
      <c r="I55" s="19" t="inlineStr">
        <is>
          <t>Repair</t>
        </is>
      </c>
      <c r="J55" s="25" t="n"/>
      <c r="K55" s="26">
        <f>IF($B55="",0,IF($J55&lt;&gt;"",$J55,IFERROR(VLOOKUP($B55,$A$31:$G$40,7,FALSE),1)))</f>
        <v/>
      </c>
    </row>
    <row r="56">
      <c r="A56" s="23" t="n">
        <v>45738</v>
      </c>
      <c r="B56" s="19" t="inlineStr">
        <is>
          <t>P1</t>
        </is>
      </c>
      <c r="C56" s="19" t="inlineStr">
        <is>
          <t>8960 Repairs and maintenance</t>
        </is>
      </c>
      <c r="D56" s="19" t="inlineStr">
        <is>
          <t>Plumbing</t>
        </is>
      </c>
      <c r="E56" s="19" t="inlineStr">
        <is>
          <t>Fix the tap</t>
        </is>
      </c>
      <c r="F56" s="24" t="n">
        <v>350</v>
      </c>
      <c r="G56" s="24" t="n">
        <v>45.5</v>
      </c>
      <c r="H56" s="19" t="inlineStr">
        <is>
          <t>Yes</t>
        </is>
      </c>
      <c r="I56" s="19" t="inlineStr">
        <is>
          <t>Repair</t>
        </is>
      </c>
      <c r="J56" s="25" t="n"/>
      <c r="K56" s="26">
        <f>IF($B56="",0,IF($J56&lt;&gt;"",$J56,IFERROR(VLOOKUP($B56,$A$31:$G$40,7,FALSE),1)))</f>
        <v/>
      </c>
    </row>
    <row r="57">
      <c r="A57" s="23" t="n">
        <v>45757</v>
      </c>
      <c r="B57" s="19" t="inlineStr">
        <is>
          <t>P2</t>
        </is>
      </c>
      <c r="C57" s="19" t="inlineStr">
        <is>
          <t>9220 Utilities</t>
        </is>
      </c>
      <c r="D57" s="19" t="inlineStr">
        <is>
          <t>Utilities</t>
        </is>
      </c>
      <c r="E57" s="19" t="inlineStr">
        <is>
          <t>Heat and hydro</t>
        </is>
      </c>
      <c r="F57" s="24" t="n">
        <v>1200</v>
      </c>
      <c r="G57" s="24" t="n">
        <v>156</v>
      </c>
      <c r="H57" s="19" t="inlineStr">
        <is>
          <t>Yes</t>
        </is>
      </c>
      <c r="I57" s="19" t="inlineStr">
        <is>
          <t>Repair</t>
        </is>
      </c>
      <c r="J57" s="25" t="n"/>
      <c r="K57" s="26">
        <f>IF($B57="",0,IF($J57&lt;&gt;"",$J57,IFERROR(VLOOKUP($B57,$A$31:$G$40,7,FALSE),1)))</f>
        <v/>
      </c>
    </row>
    <row r="58">
      <c r="A58" s="23" t="n">
        <v>45777</v>
      </c>
      <c r="B58" s="19" t="inlineStr">
        <is>
          <t>P2</t>
        </is>
      </c>
      <c r="C58" s="19" t="inlineStr">
        <is>
          <t>8690 Insurance</t>
        </is>
      </c>
      <c r="D58" s="19" t="inlineStr">
        <is>
          <t>Insurer</t>
        </is>
      </c>
      <c r="E58" s="19" t="inlineStr">
        <is>
          <t>Home insurance</t>
        </is>
      </c>
      <c r="F58" s="24" t="n">
        <v>900</v>
      </c>
      <c r="G58" s="24" t="n">
        <v>0</v>
      </c>
      <c r="H58" s="19" t="inlineStr">
        <is>
          <t>Yes</t>
        </is>
      </c>
      <c r="I58" s="19" t="inlineStr">
        <is>
          <t>Repair</t>
        </is>
      </c>
      <c r="J58" s="25" t="n"/>
      <c r="K58" s="26">
        <f>IF($B58="",0,IF($J58&lt;&gt;"",$J58,IFERROR(VLOOKUP($B58,$A$31:$G$40,7,FALSE),1)))</f>
        <v/>
      </c>
    </row>
    <row r="59">
      <c r="A59" s="23" t="n">
        <v>45823</v>
      </c>
      <c r="B59" s="19" t="inlineStr">
        <is>
          <t>P1</t>
        </is>
      </c>
      <c r="C59" s="19" t="inlineStr">
        <is>
          <t>8710 Interest and bank charges</t>
        </is>
      </c>
      <c r="D59" s="19" t="inlineStr">
        <is>
          <t>Bank</t>
        </is>
      </c>
      <c r="E59" s="19" t="inlineStr">
        <is>
          <t>Mortgage int.</t>
        </is>
      </c>
      <c r="F59" s="24" t="n">
        <v>5200</v>
      </c>
      <c r="G59" s="24" t="n">
        <v>0</v>
      </c>
      <c r="H59" s="19" t="inlineStr">
        <is>
          <t>Yes</t>
        </is>
      </c>
      <c r="I59" s="19" t="inlineStr">
        <is>
          <t>Repair</t>
        </is>
      </c>
      <c r="J59" s="25" t="n"/>
      <c r="K59" s="26">
        <f>IF($B59="",0,IF($J59&lt;&gt;"",$J59,IFERROR(VLOOKUP($B59,$A$31:$G$40,7,FALSE),1)))</f>
        <v/>
      </c>
    </row>
    <row r="60">
      <c r="A60" s="23" t="n">
        <v>45870</v>
      </c>
      <c r="B60" s="19" t="inlineStr">
        <is>
          <t>P1</t>
        </is>
      </c>
      <c r="C60" s="19" t="inlineStr">
        <is>
          <t>9270 Other expenses</t>
        </is>
      </c>
      <c r="D60" s="19" t="inlineStr">
        <is>
          <t>Condo corp</t>
        </is>
      </c>
      <c r="E60" s="19" t="inlineStr">
        <is>
          <t>Condo fees</t>
        </is>
      </c>
      <c r="F60" s="24" t="n">
        <v>180</v>
      </c>
      <c r="G60" s="24" t="n">
        <v>0</v>
      </c>
      <c r="H60" s="19" t="inlineStr">
        <is>
          <t>No</t>
        </is>
      </c>
      <c r="I60" s="19" t="inlineStr">
        <is>
          <t>Repair</t>
        </is>
      </c>
      <c r="J60" s="25" t="n"/>
      <c r="K60" s="26">
        <f>IF($B60="",0,IF($J60&lt;&gt;"",$J60,IFERROR(VLOOKUP($B60,$A$31:$G$40,7,FALSE),1)))</f>
        <v/>
      </c>
    </row>
    <row r="61">
      <c r="A61" s="23" t="n">
        <v>45905</v>
      </c>
      <c r="B61" s="19" t="inlineStr">
        <is>
          <t>P1</t>
        </is>
      </c>
      <c r="C61" s="19" t="inlineStr">
        <is>
          <t>8521 Advertising</t>
        </is>
      </c>
      <c r="D61" s="19" t="inlineStr">
        <is>
          <t>Listings site</t>
        </is>
      </c>
      <c r="E61" s="19" t="inlineStr">
        <is>
          <t>Listing fee</t>
        </is>
      </c>
      <c r="F61" s="24" t="n">
        <v>120</v>
      </c>
      <c r="G61" s="24" t="n">
        <v>15.6</v>
      </c>
      <c r="H61" s="19" t="inlineStr">
        <is>
          <t>Yes</t>
        </is>
      </c>
      <c r="I61" s="19" t="inlineStr">
        <is>
          <t>Repair</t>
        </is>
      </c>
      <c r="J61" s="25" t="n"/>
      <c r="K61" s="26">
        <f>IF($B61="",0,IF($J61&lt;&gt;"",$J61,IFERROR(VLOOKUP($B61,$A$31:$G$40,7,FALSE),1)))</f>
        <v/>
      </c>
    </row>
    <row r="62">
      <c r="A62" s="23" t="n">
        <v>45948</v>
      </c>
      <c r="B62" s="19" t="inlineStr">
        <is>
          <t>P2</t>
        </is>
      </c>
      <c r="C62" s="19" t="inlineStr">
        <is>
          <t>8960 Repairs and maintenance</t>
        </is>
      </c>
      <c r="D62" s="19" t="inlineStr">
        <is>
          <t>Handyman</t>
        </is>
      </c>
      <c r="E62" s="19" t="inlineStr">
        <is>
          <t>Paint suite</t>
        </is>
      </c>
      <c r="F62" s="24" t="n">
        <v>260</v>
      </c>
      <c r="G62" s="24" t="n">
        <v>33.8</v>
      </c>
      <c r="H62" s="19" t="inlineStr">
        <is>
          <t>Yes</t>
        </is>
      </c>
      <c r="I62" s="19" t="inlineStr">
        <is>
          <t>Repair</t>
        </is>
      </c>
      <c r="J62" s="25" t="n">
        <v>0.4</v>
      </c>
      <c r="K62" s="26">
        <f>IF($B62="",0,IF($J62&lt;&gt;"",$J62,IFERROR(VLOOKUP($B62,$A$31:$G$40,7,FALSE),1)))</f>
        <v/>
      </c>
    </row>
    <row r="64">
      <c r="A64" s="7" t="inlineStr">
        <is>
          <t>Every figure on this sheet is produced by the workbook's own formulas. T776 Rental Books is a bookkeeping aid. It is not tax, legal, or accounting advice. The paid workbook, eight tabs, is delivered by Gumroad when the purchase goes through:</t>
        </is>
      </c>
    </row>
    <row r="65">
      <c r="A65" s="27" t="inlineStr">
        <is>
          <t>https://maxhemmerich.gumroad.com/l/emzclv</t>
        </is>
      </c>
    </row>
  </sheetData>
  <mergeCells count="3">
    <mergeCell ref="A64:P64"/>
    <mergeCell ref="A27:T27"/>
    <mergeCell ref="B24:N25"/>
  </mergeCells>
  <hyperlinks>
    <hyperlink xmlns:r="http://schemas.openxmlformats.org/officeDocument/2006/relationships" ref="A65"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T776 Rental Books</dc:creator>
  <dc:title xmlns:dc="http://purl.org/dc/elements/1.1/">T776 Rental Books - free one-tab T776 Summary sample</dc:title>
  <dc:description xmlns:dc="http://purl.org/dc/elements/1.1/">Free sample of T776 Rental Books: the paid workbook's own T776 Summary tab on one sheet, with invented demo rows so its formulas total themselves. A bookkeeping aid, not tax, legal, or accounting advice.</dc:description>
  <dcterms:created xmlns:dcterms="http://purl.org/dc/terms/" xmlns:xsi="http://www.w3.org/2001/XMLSchema-instance" xsi:type="dcterms:W3CDTF">2026-10-09T12:44:35Z</dcterms:created>
  <dcterms:modified xmlns:dcterms="http://purl.org/dc/terms/" xmlns:xsi="http://www.w3.org/2001/XMLSchema-instance" xsi:type="dcterms:W3CDTF">2026-10-09T12:44:36Z</dcterms:modified>
</cp:coreProperties>
</file>